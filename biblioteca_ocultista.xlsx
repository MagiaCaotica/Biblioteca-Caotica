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iblioteca Arcana" sheetId="1" r:id="rId1"/>
  </sheets>
  <calcPr calcId="124519" fullCalcOnLoad="1"/>
</workbook>
</file>

<file path=xl/sharedStrings.xml><?xml version="1.0" encoding="utf-8"?>
<sst xmlns="http://schemas.openxmlformats.org/spreadsheetml/2006/main" count="8026" uniqueCount="4468">
  <si>
    <t>Hipervínculo</t>
  </si>
  <si>
    <t>autor</t>
  </si>
  <si>
    <t>titulo</t>
  </si>
  <si>
    <t>resumen</t>
  </si>
  <si>
    <t>categoria</t>
  </si>
  <si>
    <t>idioma</t>
  </si>
  <si>
    <t>link</t>
  </si>
  <si>
    <t>costo_correccion</t>
  </si>
  <si>
    <t>costo_resumen</t>
  </si>
  <si>
    <t>costo_total</t>
  </si>
  <si>
    <t>Abraham Gonzalez</t>
  </si>
  <si>
    <t>Aleister Crowley</t>
  </si>
  <si>
    <t>alejandro jodorowsky</t>
  </si>
  <si>
    <t>Alesiter CROWLEY</t>
  </si>
  <si>
    <t>Alesiter Crowley</t>
  </si>
  <si>
    <t>Allan Kardec</t>
  </si>
  <si>
    <t>Andre Van Lysebeth</t>
  </si>
  <si>
    <t>Antero Alli</t>
  </si>
  <si>
    <t>Anthony Borgia</t>
  </si>
  <si>
    <t>Antoine Joseph Pernety</t>
  </si>
  <si>
    <t>Anton Lavey</t>
  </si>
  <si>
    <t>Anton Szandor Lavey</t>
  </si>
  <si>
    <t>Anton Wilson, Robert</t>
  </si>
  <si>
    <t>AOS</t>
  </si>
  <si>
    <t>Aradia</t>
  </si>
  <si>
    <t>Aranegui</t>
  </si>
  <si>
    <t>Aristotle</t>
  </si>
  <si>
    <t>Artefio</t>
  </si>
  <si>
    <t>Arthur Avalon</t>
  </si>
  <si>
    <t>Arthur Conan Doyle</t>
  </si>
  <si>
    <t>Arthur E Powell</t>
  </si>
  <si>
    <t>Arthur E Waite</t>
  </si>
  <si>
    <t>Arthur E. Waite</t>
  </si>
  <si>
    <t>Arthur Edward Waite</t>
  </si>
  <si>
    <t>Aryeh Kaplan</t>
  </si>
  <si>
    <t>Asad, Ibn</t>
  </si>
  <si>
    <t>Ashcroft Dolores</t>
  </si>
  <si>
    <t>Asvaghosha</t>
  </si>
  <si>
    <t>Athanasius Kircher</t>
  </si>
  <si>
    <t>Aun Wenor, Samael</t>
  </si>
  <si>
    <t>aun weor, samael</t>
  </si>
  <si>
    <t>Aun Weor, Samael</t>
  </si>
  <si>
    <t>Aurora Dorada</t>
  </si>
  <si>
    <t>Austin Osman Spare</t>
  </si>
  <si>
    <t>Autor Desconocido</t>
  </si>
  <si>
    <t>Bacher Elman</t>
  </si>
  <si>
    <t>Baigent Michael</t>
  </si>
  <si>
    <t>Bailey A</t>
  </si>
  <si>
    <t>Bailey Alice</t>
  </si>
  <si>
    <t>Balanones</t>
  </si>
  <si>
    <t>Baphomantis Luciferian</t>
  </si>
  <si>
    <t>Baque de Bufor</t>
  </si>
  <si>
    <t>Barbarin Georges</t>
  </si>
  <si>
    <t>Bardon</t>
  </si>
  <si>
    <t>Bardy Gustave</t>
  </si>
  <si>
    <t>Barrett</t>
  </si>
  <si>
    <t>Barrett, Francis</t>
  </si>
  <si>
    <t>BART E</t>
  </si>
  <si>
    <t>Basilius</t>
  </si>
  <si>
    <t>BAUER Juan Bautista</t>
  </si>
  <si>
    <t>Begley</t>
  </si>
  <si>
    <t>Ben Goertz</t>
  </si>
  <si>
    <t>BENITO D Juan Pablo</t>
  </si>
  <si>
    <t>Benjamin Rowe</t>
  </si>
  <si>
    <t>Berlitz Charles</t>
  </si>
  <si>
    <t>Besant A</t>
  </si>
  <si>
    <t>Blake William</t>
  </si>
  <si>
    <t>Blavatsky</t>
  </si>
  <si>
    <t>Blavatsky H P</t>
  </si>
  <si>
    <t>Blavatsky Helena</t>
  </si>
  <si>
    <t>Blavatsky, Helena</t>
  </si>
  <si>
    <t>bona gian piero</t>
  </si>
  <si>
    <t>Borce T. Gjorgjievski</t>
  </si>
  <si>
    <t>Brzezinski</t>
  </si>
  <si>
    <t>Bucheli, E</t>
  </si>
  <si>
    <t>Buda</t>
  </si>
  <si>
    <t>Budge and Wallis</t>
  </si>
  <si>
    <t>BUJANDA Jesus</t>
  </si>
  <si>
    <t>Burkert Walter</t>
  </si>
  <si>
    <t>Butler</t>
  </si>
  <si>
    <t>Cagigal Carlos</t>
  </si>
  <si>
    <t>Camacho Santiago</t>
  </si>
  <si>
    <t>Campenhausen Hans Von</t>
  </si>
  <si>
    <t>Campos Luis Carlos</t>
  </si>
  <si>
    <t>Canseliet Eugene</t>
  </si>
  <si>
    <t>Carballal Manuel</t>
  </si>
  <si>
    <t>Caro Rodriguez Jose Maria</t>
  </si>
  <si>
    <t>Carrera Alex</t>
  </si>
  <si>
    <t>Carroll</t>
  </si>
  <si>
    <t>Carroll, Peter</t>
  </si>
  <si>
    <t>Carroll, peter</t>
  </si>
  <si>
    <t>Chandelle Rene</t>
  </si>
  <si>
    <t>Children of the Black Rose</t>
  </si>
  <si>
    <t>Christopher Hyatt</t>
  </si>
  <si>
    <t>Ciceron</t>
  </si>
  <si>
    <t>Cirlot Juan Eduardo</t>
  </si>
  <si>
    <t>Claremont</t>
  </si>
  <si>
    <t>Coomaraswamy Ananda Kentish</t>
  </si>
  <si>
    <t>Coomaraswamy Nivedita</t>
  </si>
  <si>
    <t>Coquet Michel</t>
  </si>
  <si>
    <t>Cori Patricia</t>
  </si>
  <si>
    <t>Crowley Aleister</t>
  </si>
  <si>
    <t>CROWLEY ALESTER</t>
  </si>
  <si>
    <t>Crowley, Aleister</t>
  </si>
  <si>
    <t>Crowley, aleister</t>
  </si>
  <si>
    <t>Cunningham Scott</t>
  </si>
  <si>
    <t>cunningham, scott</t>
  </si>
  <si>
    <t>CZAJKOWSKI HANIA</t>
  </si>
  <si>
    <t>D.J. Conway</t>
  </si>
  <si>
    <t>D.W. Owens</t>
  </si>
  <si>
    <t>Dale Carnegie</t>
  </si>
  <si>
    <t>Dame Gabby</t>
  </si>
  <si>
    <t>Daniel Conway</t>
  </si>
  <si>
    <t>Daniel Min</t>
  </si>
  <si>
    <t>Daniken Erich Von</t>
  </si>
  <si>
    <t>David Cherubim</t>
  </si>
  <si>
    <t>David Hume</t>
  </si>
  <si>
    <t>David Neel Alexandra</t>
  </si>
  <si>
    <t>De La Cierva Ricardo</t>
  </si>
  <si>
    <t>De Vaux Roland</t>
  </si>
  <si>
    <t>De Vicente Enrique</t>
  </si>
  <si>
    <t>Dee John</t>
  </si>
  <si>
    <t>Dee, John</t>
  </si>
  <si>
    <t>Del Pino Luis</t>
  </si>
  <si>
    <t>Denning and Phillips</t>
  </si>
  <si>
    <t>Deschner</t>
  </si>
  <si>
    <t>Diez Alegria Jose Maria</t>
  </si>
  <si>
    <t>Diez De Medina Fernando</t>
  </si>
  <si>
    <t>Dion Fortune</t>
  </si>
  <si>
    <t>Discordian</t>
  </si>
  <si>
    <t>Dodds, E.R.</t>
  </si>
  <si>
    <t>Doreste Tomas</t>
  </si>
  <si>
    <t>Dray</t>
  </si>
  <si>
    <t>Drunvalo Melchizedek</t>
  </si>
  <si>
    <t>DuQuette</t>
  </si>
  <si>
    <t>Durville Henri</t>
  </si>
  <si>
    <t>E R Dodds</t>
  </si>
  <si>
    <t>Eduardo R. Zancolli</t>
  </si>
  <si>
    <t>Eliade</t>
  </si>
  <si>
    <t>Eliade Mircea</t>
  </si>
  <si>
    <t>eliade, mircea</t>
  </si>
  <si>
    <t>Elias Eduardo</t>
  </si>
  <si>
    <t>Eliphas Levi</t>
  </si>
  <si>
    <t>Enodia Black</t>
  </si>
  <si>
    <t>Eratostenes</t>
  </si>
  <si>
    <t>ernst schertel</t>
  </si>
  <si>
    <t>Eslava Galan Juan</t>
  </si>
  <si>
    <t>Fernandez Gustavo</t>
  </si>
  <si>
    <t>Finkelstein Y Silberman</t>
  </si>
  <si>
    <t>Flamel Nicolas</t>
  </si>
  <si>
    <t>Fonck Sieveking Oscar</t>
  </si>
  <si>
    <t>Ford, Michael</t>
  </si>
  <si>
    <t>Ford, Michael - Adamu</t>
  </si>
  <si>
    <t>Frances Yates</t>
  </si>
  <si>
    <t>Francis King</t>
  </si>
  <si>
    <t>Franklin Ugas</t>
  </si>
  <si>
    <t>Franz Hartmann</t>
  </si>
  <si>
    <t>Frater Malak</t>
  </si>
  <si>
    <t>Frater Motivation</t>
  </si>
  <si>
    <t>Freke Y Gandy</t>
  </si>
  <si>
    <t>G. de Purucker</t>
  </si>
  <si>
    <t>Ganas</t>
  </si>
  <si>
    <t>Garcia Bautista Jose</t>
  </si>
  <si>
    <t>Garcia Bautista Jose Manuel</t>
  </si>
  <si>
    <t>Garcia Bautista Juan M</t>
  </si>
  <si>
    <t>Garcia Castrillo Jesus</t>
  </si>
  <si>
    <t>GARCIA CORDERO Maximiliano</t>
  </si>
  <si>
    <t>Gardner</t>
  </si>
  <si>
    <t>Gary Greenberg</t>
  </si>
  <si>
    <t>Georg Luck</t>
  </si>
  <si>
    <t>George Orwell</t>
  </si>
  <si>
    <t>Gerula Luis</t>
  </si>
  <si>
    <t>Giordano Bruno</t>
  </si>
  <si>
    <t>GoodrickClarke</t>
  </si>
  <si>
    <t>Grant</t>
  </si>
  <si>
    <t>Grant Morrison</t>
  </si>
  <si>
    <t>Gray</t>
  </si>
  <si>
    <t>Greene Brian</t>
  </si>
  <si>
    <t>greer, John michael</t>
  </si>
  <si>
    <t>Gregorio Gonzalez Jose</t>
  </si>
  <si>
    <t>Guenon R</t>
  </si>
  <si>
    <t>Guenon Rene</t>
  </si>
  <si>
    <t>Guido Von List</t>
  </si>
  <si>
    <t>Guirand Felix</t>
  </si>
  <si>
    <t>Guitton Jean</t>
  </si>
  <si>
    <t>Gurdjieff</t>
  </si>
  <si>
    <t>Harun Yahya</t>
  </si>
  <si>
    <t>Hatem Frank</t>
  </si>
  <si>
    <t>Hawkins d</t>
  </si>
  <si>
    <t>Heindel</t>
  </si>
  <si>
    <t>Heindel M</t>
  </si>
  <si>
    <t>Heindel Max</t>
  </si>
  <si>
    <t>Helen Blavatsky</t>
  </si>
  <si>
    <t>Helena Blavatsky</t>
  </si>
  <si>
    <t>Helmont</t>
  </si>
  <si>
    <t>Henry Cornelius Agrippa</t>
  </si>
  <si>
    <t>Henry Leo Bolduc</t>
  </si>
  <si>
    <t>Herbert S. Redgrove</t>
  </si>
  <si>
    <t>Hermes</t>
  </si>
  <si>
    <t>Hermes Trismegisto</t>
  </si>
  <si>
    <t>Hermes Trismegistus</t>
  </si>
  <si>
    <t>Hiram E. Butler</t>
  </si>
  <si>
    <t>Hitler</t>
  </si>
  <si>
    <t>Huber</t>
  </si>
  <si>
    <t>Iamblichus</t>
  </si>
  <si>
    <t>Idel Moshe</t>
  </si>
  <si>
    <t>Iker Jimenez</t>
  </si>
  <si>
    <t>Inman</t>
  </si>
  <si>
    <t>Iolair Faol</t>
  </si>
  <si>
    <t>Isabel Trinidad Lafuente</t>
  </si>
  <si>
    <t>Israel Regardie</t>
  </si>
  <si>
    <t>J Farmer</t>
  </si>
  <si>
    <t>J.F.C. Fuller</t>
  </si>
  <si>
    <t>Jacques Sadoul</t>
  </si>
  <si>
    <t>Jaeger Werner</t>
  </si>
  <si>
    <t>Jamblico</t>
  </si>
  <si>
    <t>James Allen</t>
  </si>
  <si>
    <t>Jan Fries</t>
  </si>
  <si>
    <t>JAN VAN HELSIG</t>
  </si>
  <si>
    <t>Jason Augustus Newcomb</t>
  </si>
  <si>
    <t>Jason Miller</t>
  </si>
  <si>
    <t>Javane Faith</t>
  </si>
  <si>
    <t>Jean-Paul Corsetti</t>
  </si>
  <si>
    <t>Jim Marrs</t>
  </si>
  <si>
    <t>Jimenez Del Oso Fernando</t>
  </si>
  <si>
    <t>Jimenez Iker</t>
  </si>
  <si>
    <t>Jimenez San Cristobal</t>
  </si>
  <si>
    <t>Jinarajadasa</t>
  </si>
  <si>
    <t>JJ Luna</t>
  </si>
  <si>
    <t>Joachim Jeremias</t>
  </si>
  <si>
    <t>Jochen Gartz</t>
  </si>
  <si>
    <t>Joel Biroco</t>
  </si>
  <si>
    <t>Johannes Faust</t>
  </si>
  <si>
    <t>Johannes Kepler</t>
  </si>
  <si>
    <t>John Dee</t>
  </si>
  <si>
    <t>John F. McManus</t>
  </si>
  <si>
    <t>John Yarker</t>
  </si>
  <si>
    <t>Jonas Hans</t>
  </si>
  <si>
    <t>Joseph C Lisiewski</t>
  </si>
  <si>
    <t>Joshua Wetzel</t>
  </si>
  <si>
    <t>Juan Eduardo Cirlot</t>
  </si>
  <si>
    <t>Julio Trebolle Barrera</t>
  </si>
  <si>
    <t>K. Amber</t>
  </si>
  <si>
    <t>Kardec Allan</t>
  </si>
  <si>
    <t>Karl Hans Welz</t>
  </si>
  <si>
    <t>Karr, don</t>
  </si>
  <si>
    <t>Kate Hoolu</t>
  </si>
  <si>
    <t>Katherine Howe</t>
  </si>
  <si>
    <t>Keith</t>
  </si>
  <si>
    <t>Ken Wilber</t>
  </si>
  <si>
    <t>Kennedy James</t>
  </si>
  <si>
    <t>Kenneth Grant</t>
  </si>
  <si>
    <t>KennethGrant</t>
  </si>
  <si>
    <t>Kenrick Cleveland</t>
  </si>
  <si>
    <t>Kerenyi Karl</t>
  </si>
  <si>
    <t>Kettunen Harri</t>
  </si>
  <si>
    <t>Kevin Trudeau</t>
  </si>
  <si>
    <t>King Francis</t>
  </si>
  <si>
    <t>King, Francis</t>
  </si>
  <si>
    <t>Kingsland William</t>
  </si>
  <si>
    <t>Kingsley Peter</t>
  </si>
  <si>
    <t>Kircher</t>
  </si>
  <si>
    <t>Knight, Gareth</t>
  </si>
  <si>
    <t>Knight, sirona</t>
  </si>
  <si>
    <t>Knud Rasmussen</t>
  </si>
  <si>
    <t>Koenig</t>
  </si>
  <si>
    <t>KONIG Franz</t>
  </si>
  <si>
    <t>Krishnamurti, Jiddu</t>
  </si>
  <si>
    <t>KRISTINE MCGUIRE</t>
  </si>
  <si>
    <t>Krumm</t>
  </si>
  <si>
    <t>Kummer, Siegfried Arnold</t>
  </si>
  <si>
    <t>Kuper Adam</t>
  </si>
  <si>
    <t>L. Pauweds Y J. Bergier</t>
  </si>
  <si>
    <t>L.M. Bazett</t>
  </si>
  <si>
    <t>Lansdowne</t>
  </si>
  <si>
    <t>Lavagnini Aldo</t>
  </si>
  <si>
    <t>Le Plongeon Augustus</t>
  </si>
  <si>
    <t>Leo Ferraro</t>
  </si>
  <si>
    <t>Leonardo Da Vinci</t>
  </si>
  <si>
    <t>LEVI</t>
  </si>
  <si>
    <t>Levi</t>
  </si>
  <si>
    <t>Lewis Ralph</t>
  </si>
  <si>
    <t>Leyland, Charles</t>
  </si>
  <si>
    <t>Li Hongzhi</t>
  </si>
  <si>
    <t>Liliya-Devala</t>
  </si>
  <si>
    <t>Linda Howe</t>
  </si>
  <si>
    <t>Ljossal Lodursson &amp; Siegfried Lucifer</t>
  </si>
  <si>
    <t>Loisy Alfred</t>
  </si>
  <si>
    <t>Lopez de Rojas</t>
  </si>
  <si>
    <t>Los Milenarios</t>
  </si>
  <si>
    <t>Lucy Summers</t>
  </si>
  <si>
    <t>Luigi Serafini</t>
  </si>
  <si>
    <t>Mac Gregor Mathers</t>
  </si>
  <si>
    <t>MacGregor Mathers</t>
  </si>
  <si>
    <t>Mackenzie</t>
  </si>
  <si>
    <t>Mahazhael-Deval</t>
  </si>
  <si>
    <t>Maimonides</t>
  </si>
  <si>
    <t>Manly P Hall</t>
  </si>
  <si>
    <t>Manly Palmer Hall</t>
  </si>
  <si>
    <t>Maragret Vivian</t>
  </si>
  <si>
    <t>Margaret A Murray</t>
  </si>
  <si>
    <t>Margaret Murray</t>
  </si>
  <si>
    <t>Martha Clover-Jones</t>
  </si>
  <si>
    <t>Martinez Concha Santiago</t>
  </si>
  <si>
    <t>Masaru Emoto</t>
  </si>
  <si>
    <t>Master Subramuniya</t>
  </si>
  <si>
    <t>Mathers</t>
  </si>
  <si>
    <t>Mathers, MacGregor</t>
  </si>
  <si>
    <t>Max Heindel</t>
  </si>
  <si>
    <t>Maynade Josefina</t>
  </si>
  <si>
    <t>Medina Jorge</t>
  </si>
  <si>
    <t>Melvin Helitzer</t>
  </si>
  <si>
    <t>Mendez, Mariano</t>
  </si>
  <si>
    <t>Michael A. Aquino</t>
  </si>
  <si>
    <t>Michael Tsarion</t>
  </si>
  <si>
    <t>Michelet Jules</t>
  </si>
  <si>
    <t>Migene Gonzalez Wippler</t>
  </si>
  <si>
    <t>Miller, Jason</t>
  </si>
  <si>
    <t>Min</t>
  </si>
  <si>
    <t>Min Tzu</t>
  </si>
  <si>
    <t>Minusinsk Basin Evenki and Basin-Plateau Ute</t>
  </si>
  <si>
    <t>Miralles Alberto</t>
  </si>
  <si>
    <t>Mircea Eliade</t>
  </si>
  <si>
    <t>MONTSE OSUNA</t>
  </si>
  <si>
    <t>Moshe Idel</t>
  </si>
  <si>
    <t>Murray</t>
  </si>
  <si>
    <t>N. K. Sandars</t>
  </si>
  <si>
    <t>Napoleon Hill</t>
  </si>
  <si>
    <t>Natalia Ter Grigorian de Demianiuk</t>
  </si>
  <si>
    <t>National Geographic Society</t>
  </si>
  <si>
    <t>Nenki</t>
  </si>
  <si>
    <t>Nenki Amitie</t>
  </si>
  <si>
    <t>Nicholae Athanasius</t>
  </si>
  <si>
    <t>Nikola Tesla</t>
  </si>
  <si>
    <t>Nostradamus</t>
  </si>
  <si>
    <t>Nye</t>
  </si>
  <si>
    <t>Odo Casel</t>
  </si>
  <si>
    <t>Omraam Mikhael</t>
  </si>
  <si>
    <t>Omraam Mikhael Aivanhov</t>
  </si>
  <si>
    <t>Onfray, Michel</t>
  </si>
  <si>
    <t>Ophiel</t>
  </si>
  <si>
    <t>ORDO TEMPLIS SOLARIS ET SACTUM MORTUM</t>
  </si>
  <si>
    <t>Osman Spare</t>
  </si>
  <si>
    <t>Oto</t>
  </si>
  <si>
    <t>Ouspenski</t>
  </si>
  <si>
    <t>Owen</t>
  </si>
  <si>
    <t>Packwood</t>
  </si>
  <si>
    <t>Palacios Rafael</t>
  </si>
  <si>
    <t>Palmer Hall</t>
  </si>
  <si>
    <t>Panikkar</t>
  </si>
  <si>
    <t>Papa Honorio</t>
  </si>
  <si>
    <t>Papa Honorio-1</t>
  </si>
  <si>
    <t>Papus</t>
  </si>
  <si>
    <t>Paracelso</t>
  </si>
  <si>
    <t>PARACELSUS</t>
  </si>
  <si>
    <t>Pare Ambroise</t>
  </si>
  <si>
    <t>Pasqually Martines</t>
  </si>
  <si>
    <t>Paul Foster Case</t>
  </si>
  <si>
    <t>paul Valley</t>
  </si>
  <si>
    <t>Pauline Gedge</t>
  </si>
  <si>
    <t>Penna R</t>
  </si>
  <si>
    <t>Pennick Nigel</t>
  </si>
  <si>
    <t>Pernety</t>
  </si>
  <si>
    <t>Peter Carroll</t>
  </si>
  <si>
    <t>Phil Hansford</t>
  </si>
  <si>
    <t>Phil Hine</t>
  </si>
  <si>
    <t>Pieters Simon</t>
  </si>
  <si>
    <t>Pikaza Xabier</t>
  </si>
  <si>
    <t>Pinto Renedo Antonio</t>
  </si>
  <si>
    <t>Plutarco</t>
  </si>
  <si>
    <t>Powers Rhea</t>
  </si>
  <si>
    <t>Probst Biraben J</t>
  </si>
  <si>
    <t>Proclo, Pselo, M. Itálico, Numenio de Apamea</t>
  </si>
  <si>
    <t>Psychonaut75</t>
  </si>
  <si>
    <t>Quan Yin Amorah</t>
  </si>
  <si>
    <t>R. Buckland</t>
  </si>
  <si>
    <t>Rahner Karl</t>
  </si>
  <si>
    <t>Ralph Blum</t>
  </si>
  <si>
    <t>Ramsey Dukes</t>
  </si>
  <si>
    <t>Randall</t>
  </si>
  <si>
    <t>Rappaport</t>
  </si>
  <si>
    <t>Rav Philips y Berg</t>
  </si>
  <si>
    <t>Ray King Godfre</t>
  </si>
  <si>
    <t>Ray Sherwin</t>
  </si>
  <si>
    <t>Raynaud de la ferriere, Serge</t>
  </si>
  <si>
    <t>Raziel ,Cephar</t>
  </si>
  <si>
    <t>Readers Digest</t>
  </si>
  <si>
    <t>Rebecca Brown</t>
  </si>
  <si>
    <t>Reformed Druids</t>
  </si>
  <si>
    <t>Regardie</t>
  </si>
  <si>
    <t>Rene Chandelle</t>
  </si>
  <si>
    <t>Richard Alan Miller</t>
  </si>
  <si>
    <t>Richard Bandler</t>
  </si>
  <si>
    <t>Richard Bandler And John Grinder</t>
  </si>
  <si>
    <t>Richard Bandler and John Grinder</t>
  </si>
  <si>
    <t>Richard Bandler And John La Valle</t>
  </si>
  <si>
    <t>Richard Cross</t>
  </si>
  <si>
    <t>Ries Julien</t>
  </si>
  <si>
    <t>Rio Robledo Santiago</t>
  </si>
  <si>
    <t>Robert Anton Wilson</t>
  </si>
  <si>
    <t>Robert Dilts</t>
  </si>
  <si>
    <t>Robert Graves</t>
  </si>
  <si>
    <t>Robert Peterson</t>
  </si>
  <si>
    <t>Roger Caillois</t>
  </si>
  <si>
    <t>Roland De Vaux</t>
  </si>
  <si>
    <t>Rosado Velasco Juan</t>
  </si>
  <si>
    <t>Roso de Luna Mario</t>
  </si>
  <si>
    <t>Ross G. Arthur</t>
  </si>
  <si>
    <t>Roszak Theodore</t>
  </si>
  <si>
    <t>Rowe</t>
  </si>
  <si>
    <t>ROWE</t>
  </si>
  <si>
    <t>Rudolf Steiner</t>
  </si>
  <si>
    <t>Sack John</t>
  </si>
  <si>
    <t>Saint Loup</t>
  </si>
  <si>
    <t>Saint Martin Claude</t>
  </si>
  <si>
    <t>Sainz Salvador</t>
  </si>
  <si>
    <t>Salomon Trismosin</t>
  </si>
  <si>
    <t>Salvador Freixedo</t>
  </si>
  <si>
    <t>Samael Aun Weor</t>
  </si>
  <si>
    <t>Santander Ricardo</t>
  </si>
  <si>
    <t>Scheibel, Johann</t>
  </si>
  <si>
    <t>Schopenhauer</t>
  </si>
  <si>
    <t>Scott</t>
  </si>
  <si>
    <t>Scrutton Robert</t>
  </si>
  <si>
    <t>Sekhet Sophia</t>
  </si>
  <si>
    <t>Sepharial</t>
  </si>
  <si>
    <t>Serrano Miguel</t>
  </si>
  <si>
    <t>Shah, idres</t>
  </si>
  <si>
    <t>Shallcrass Philip</t>
  </si>
  <si>
    <t>Sicre</t>
  </si>
  <si>
    <t>Sierra Arcadio</t>
  </si>
  <si>
    <t>Sierra Javier</t>
  </si>
  <si>
    <t>Simon</t>
  </si>
  <si>
    <t>Sinclair Andrew</t>
  </si>
  <si>
    <t>Sinnett</t>
  </si>
  <si>
    <t>Sir Edward Kelly</t>
  </si>
  <si>
    <t>Sitchin, Zecharia</t>
  </si>
  <si>
    <t>Solomon</t>
  </si>
  <si>
    <t>Sophie Page</t>
  </si>
  <si>
    <t>Sorgia Raimondo</t>
  </si>
  <si>
    <t>Sosa Ulises</t>
  </si>
  <si>
    <t>Spiritual-Anarchist</t>
  </si>
  <si>
    <t>Sri Swami Sivananda</t>
  </si>
  <si>
    <t>Starhawk</t>
  </si>
  <si>
    <t>Steiner R</t>
  </si>
  <si>
    <t>Steiner Rudolf</t>
  </si>
  <si>
    <t>Stephen Mace</t>
  </si>
  <si>
    <t>Swami Swatmarama</t>
  </si>
  <si>
    <t>Swartz</t>
  </si>
  <si>
    <t>Taylor Jeremy</t>
  </si>
  <si>
    <t>Temple of Set</t>
  </si>
  <si>
    <t>Terence McKenna</t>
  </si>
  <si>
    <t>Thacher</t>
  </si>
  <si>
    <t>Thomas Spalding</t>
  </si>
  <si>
    <t>Thompson</t>
  </si>
  <si>
    <t>Timothy Leary</t>
  </si>
  <si>
    <t>Toorn Becking Van Der Horst</t>
  </si>
  <si>
    <t>Touchard Michel Claude</t>
  </si>
  <si>
    <t>Trevor Ravenscroft</t>
  </si>
  <si>
    <t>Turner, Robert</t>
  </si>
  <si>
    <t>U.S. Army Special Forces</t>
  </si>
  <si>
    <t>Uncle Setnakt</t>
  </si>
  <si>
    <t>Uncle Setnakt Sez</t>
  </si>
  <si>
    <t>Vandenberg Philipp</t>
  </si>
  <si>
    <t>Via Nocturne</t>
  </si>
  <si>
    <t>Vidal Cesar</t>
  </si>
  <si>
    <t>Waite</t>
  </si>
  <si>
    <t>Walter Burkert</t>
  </si>
  <si>
    <t>Walter Carey</t>
  </si>
  <si>
    <t>Walter Otto</t>
  </si>
  <si>
    <t>Wasson, Hofmann, Ruck</t>
  </si>
  <si>
    <t>Wesctott W W</t>
  </si>
  <si>
    <t>Westcott</t>
  </si>
  <si>
    <t>Wilford John Noble</t>
  </si>
  <si>
    <t>William Blake</t>
  </si>
  <si>
    <t>William Pelley</t>
  </si>
  <si>
    <t>William W Westcott</t>
  </si>
  <si>
    <t>Wittgenstein</t>
  </si>
  <si>
    <t>Wotan</t>
  </si>
  <si>
    <t>Wynn Westcott</t>
  </si>
  <si>
    <t>Xeper</t>
  </si>
  <si>
    <t>Yogi Ramacharaka</t>
  </si>
  <si>
    <t>Zecharia Sitchin</t>
  </si>
  <si>
    <t>Ziley Mora</t>
  </si>
  <si>
    <t>Zolla Elemire</t>
  </si>
  <si>
    <t>Nohmata Secreto del Mal</t>
  </si>
  <si>
    <t>El continente perdido y otros ensayos</t>
  </si>
  <si>
    <t>Liber KKK</t>
  </si>
  <si>
    <t>Liber Nv</t>
  </si>
  <si>
    <t>MAgick Book 4</t>
  </si>
  <si>
    <t>Magick in Theory and Practice</t>
  </si>
  <si>
    <t>Sepher Sephiroth</t>
  </si>
  <si>
    <t>The Greater Ritual of The Pentagram</t>
  </si>
  <si>
    <t>el tarot de marsella restaurado</t>
  </si>
  <si>
    <t>Liber XXVII Frag</t>
  </si>
  <si>
    <t>Moonchild</t>
  </si>
  <si>
    <t>El Libro de los Espiritus</t>
  </si>
  <si>
    <t>Tantra el culto de lo femenino</t>
  </si>
  <si>
    <t>All Rites Reversed</t>
  </si>
  <si>
    <t>Angel Tech - A Modern Shaman's Guide To Reality Selection</t>
  </si>
  <si>
    <t>Life in the World Unseen</t>
  </si>
  <si>
    <t>The Great Art</t>
  </si>
  <si>
    <t>Satanic Aphorisms</t>
  </si>
  <si>
    <t>Satanic Rituals</t>
  </si>
  <si>
    <t>The Satanic Bible</t>
  </si>
  <si>
    <t>Biblia Satanica</t>
  </si>
  <si>
    <t>Prometheus Rising</t>
  </si>
  <si>
    <t>Book of Pleasure</t>
  </si>
  <si>
    <t>The Gospel of the Witches</t>
  </si>
  <si>
    <t>Los Iberos</t>
  </si>
  <si>
    <t>Metaphysics</t>
  </si>
  <si>
    <t>el libro secreto</t>
  </si>
  <si>
    <t>El Poder Serpentino</t>
  </si>
  <si>
    <t>Pheneas Speaks</t>
  </si>
  <si>
    <t>The History of Spiritualism I</t>
  </si>
  <si>
    <t>The History of Spiritualism II</t>
  </si>
  <si>
    <t>The New Revelation &amp; Vital Message</t>
  </si>
  <si>
    <t>The Causal Body &amp; The Ego</t>
  </si>
  <si>
    <t>The Etheric Double</t>
  </si>
  <si>
    <t>The Mental Body</t>
  </si>
  <si>
    <t>The Book of Ceremonial Magick</t>
  </si>
  <si>
    <t>Aspects of Masonic Symbolism</t>
  </si>
  <si>
    <t>Templar Orders in Freemasonry</t>
  </si>
  <si>
    <t>The Pictorial Key to the Tarot</t>
  </si>
  <si>
    <t>Jewish Meditation</t>
  </si>
  <si>
    <t>La Danza de Kali</t>
  </si>
  <si>
    <t>Los sendros brillantes</t>
  </si>
  <si>
    <t>magia</t>
  </si>
  <si>
    <t>El despertar de la fe</t>
  </si>
  <si>
    <t>Aritmologia</t>
  </si>
  <si>
    <t>Medicina Oculta Y Magia Practica</t>
  </si>
  <si>
    <t>Curso Esoterico Cabala Tarot</t>
  </si>
  <si>
    <t>Esoteric Treatise Of Hermetic Astrology</t>
  </si>
  <si>
    <t>Gnosis - Manual de Magia Practica</t>
  </si>
  <si>
    <t>Cuarta Leccion Teorica</t>
  </si>
  <si>
    <t>En el jardin del eden</t>
  </si>
  <si>
    <t>Los pilares</t>
  </si>
  <si>
    <t>Logomachy of Zos</t>
  </si>
  <si>
    <t>A Practical Guide to Modern Magick</t>
  </si>
  <si>
    <t>Alexandrian Book of Shadows</t>
  </si>
  <si>
    <t>Amazing New Mind Power Secret</t>
  </si>
  <si>
    <t>Antigua brujeria</t>
  </si>
  <si>
    <t>Antiguo Oriente</t>
  </si>
  <si>
    <t>Antiguos Ritos Místicos</t>
  </si>
  <si>
    <t>Antologia del Ocultismo</t>
  </si>
  <si>
    <t>AOS - Anathema of Zos</t>
  </si>
  <si>
    <t>Apikorsus Loon</t>
  </si>
  <si>
    <t>Apollo Moon Hoax</t>
  </si>
  <si>
    <t>Aradia Gospel of the Witches</t>
  </si>
  <si>
    <t>Aradia, Evangelio de las Brujas</t>
  </si>
  <si>
    <t>Arbatel Of Magick</t>
  </si>
  <si>
    <t>Arcana Mvndi Libro de La Penumbra</t>
  </si>
  <si>
    <t>Armanen Runes</t>
  </si>
  <si>
    <t>Ars Almadel</t>
  </si>
  <si>
    <t>Art Images Associated with States of Expanded Consciousness: A Study of the Individual Case</t>
  </si>
  <si>
    <t>Art of Alchemy - The Doctrine of Inner Light</t>
  </si>
  <si>
    <t>Art of True Healing</t>
  </si>
  <si>
    <t>Art Of War</t>
  </si>
  <si>
    <t>Aspects of Tantra</t>
  </si>
  <si>
    <t>Astral Simulacra</t>
  </si>
  <si>
    <t>ASTROBIOENERGETICA</t>
  </si>
  <si>
    <t>Astrology and Religion Among the Greeks and Romans</t>
  </si>
  <si>
    <t>Astronomy and the Bible</t>
  </si>
  <si>
    <t>Atana Encantamiento De Las Velas</t>
  </si>
  <si>
    <t>Aurora Dorada - Acerca de la purificacion del alma</t>
  </si>
  <si>
    <t>Aurora Dorada - Iniciacion del Grado Theoricus</t>
  </si>
  <si>
    <t>Aurora Dorada - Iniciacion del neofito</t>
  </si>
  <si>
    <t>Aurora Dorada - Iniciacion del Zelator</t>
  </si>
  <si>
    <t>Aurora Dorada - Primera Leccion Teorica</t>
  </si>
  <si>
    <t>Aurora Dorada - Tercera Leccion Teorica</t>
  </si>
  <si>
    <t>Aurum Solis</t>
  </si>
  <si>
    <t>Babylonian Magic and Sorcery</t>
  </si>
  <si>
    <t>Banishing the Slave Gods</t>
  </si>
  <si>
    <t>Basic Technologies of Witchcraft</t>
  </si>
  <si>
    <t>Bear in Human Imagination and in Ritual</t>
  </si>
  <si>
    <t>Beholders of Night</t>
  </si>
  <si>
    <t>Berashith</t>
  </si>
  <si>
    <t>Black magic curses &amp; spells</t>
  </si>
  <si>
    <t>Black Pullet</t>
  </si>
  <si>
    <t>Black Witchcraft</t>
  </si>
  <si>
    <t>Blackout and Sigils</t>
  </si>
  <si>
    <t>Blue Planet Project</t>
  </si>
  <si>
    <t>Body of God</t>
  </si>
  <si>
    <t>Book 1 of Wicca</t>
  </si>
  <si>
    <t>Book of Am Tuat</t>
  </si>
  <si>
    <t>Book of Doom</t>
  </si>
  <si>
    <t>Book of Gates</t>
  </si>
  <si>
    <t>Book of Satyrs</t>
  </si>
  <si>
    <t>Book of the Witch Moon</t>
  </si>
  <si>
    <t>Book of Wamphyri and Shadows</t>
  </si>
  <si>
    <t>Book T - The Tarot</t>
  </si>
  <si>
    <t>Budismo y su Aplicación en la Psicoterapia Posmoderna</t>
  </si>
  <si>
    <t>Chaldean Oracles</t>
  </si>
  <si>
    <t>Chaos Magick</t>
  </si>
  <si>
    <t>Clairvoyance - Seeing With Your Spiritual Eyes</t>
  </si>
  <si>
    <t>Clairvoyance A Beginners Guide</t>
  </si>
  <si>
    <t>Clairvoyance In Today's World</t>
  </si>
  <si>
    <t>Clave Mayor de Salomon</t>
  </si>
  <si>
    <t>Claviculas De Salomon clave menor</t>
  </si>
  <si>
    <t>Combat magick</t>
  </si>
  <si>
    <t>Como Leer El Cuerpo</t>
  </si>
  <si>
    <t>Con el diablo en el cuerpo</t>
  </si>
  <si>
    <t>Corpus hermeticum</t>
  </si>
  <si>
    <t>Creating Magickal Entities</t>
  </si>
  <si>
    <t>Creation of Anima-Shakti</t>
  </si>
  <si>
    <t>Cristianismo Primitivo y Religiones Mistéricas</t>
  </si>
  <si>
    <t>Cronica de CAIN libro de NOD</t>
  </si>
  <si>
    <t>Culto Del Dios Mithra</t>
  </si>
  <si>
    <t>Cults of Cthulhu</t>
  </si>
  <si>
    <t>Cultus Sabbati</t>
  </si>
  <si>
    <t>Curso de Filosofia Oculta</t>
  </si>
  <si>
    <t>Curso esoterico de Magia Runica</t>
  </si>
  <si>
    <t>Cycles of Chaos - Deconstructing Initiation</t>
  </si>
  <si>
    <t>Da Vinci Code</t>
  </si>
  <si>
    <t>Dagon Rising</t>
  </si>
  <si>
    <t>Dance of the Witches</t>
  </si>
  <si>
    <t>Dark Gods</t>
  </si>
  <si>
    <t>Dattatreya</t>
  </si>
  <si>
    <t>Dattatreya Rite</t>
  </si>
  <si>
    <t>Deitus</t>
  </si>
  <si>
    <t>Demonic Bible</t>
  </si>
  <si>
    <t>Demonios los Dioses del Infierno</t>
  </si>
  <si>
    <t>Demonolatry Rites</t>
  </si>
  <si>
    <t>Demonology Lost Books of the Bible Book of the Secrets</t>
  </si>
  <si>
    <t>Description</t>
  </si>
  <si>
    <t>Descubriendo el Misterio del Texto Biblico</t>
  </si>
  <si>
    <t>Develop Your Psychic Abilities</t>
  </si>
  <si>
    <t>Devotions &amp; Demonesses</t>
  </si>
  <si>
    <t>Diabolicon</t>
  </si>
  <si>
    <t>Diabolus Las Mil Caras Del Diablo a Lo Largo de La Historia</t>
  </si>
  <si>
    <t>Diccionario de Religiones, Denominaciones y Sectas</t>
  </si>
  <si>
    <t>Diccionario del diablo</t>
  </si>
  <si>
    <t>Diccionario Infernal</t>
  </si>
  <si>
    <t>Dicionario demonios monstruos y fantasmas</t>
  </si>
  <si>
    <t>Disclosure - Military and Government Witnesses Reveal the Secrets in Modern History</t>
  </si>
  <si>
    <t>Easy Way To Stop Smoking</t>
  </si>
  <si>
    <t>Egyptian Medicine</t>
  </si>
  <si>
    <t>El 12 Planeta Ilustrado</t>
  </si>
  <si>
    <t>El arte completo de la brujeria</t>
  </si>
  <si>
    <t>El Arte de la Evocacion Magica</t>
  </si>
  <si>
    <t>El camino de la Bruja Verde</t>
  </si>
  <si>
    <t>el claustro de silos</t>
  </si>
  <si>
    <t>El Codigo Real</t>
  </si>
  <si>
    <t>El Cordon Dorado</t>
  </si>
  <si>
    <t>El Cristianismo Antiguo</t>
  </si>
  <si>
    <t>El Culto a Los Santos Devocion Vida Arte y Cofradias</t>
  </si>
  <si>
    <t>El Dios de los Brujos</t>
  </si>
  <si>
    <t>El Enchiridion</t>
  </si>
  <si>
    <t>El Enigma de La Trinidad</t>
  </si>
  <si>
    <t>El Evangelio De Judas</t>
  </si>
  <si>
    <t>El evangelio del Tibet</t>
  </si>
  <si>
    <t>El Gran Grimorio</t>
  </si>
  <si>
    <t>El Gran Grimorio o Dragon Rojo</t>
  </si>
  <si>
    <t>El gran libro de los rituales magicos</t>
  </si>
  <si>
    <t>El Grimorio de Armadel</t>
  </si>
  <si>
    <t>El Grimorio de las Reencarnaciones</t>
  </si>
  <si>
    <t>El Grimorio del Castillo de Dampierre</t>
  </si>
  <si>
    <t>El Grimorio Golden Dawn Ceremonial Magico y Rituales</t>
  </si>
  <si>
    <t>El grimorio perdido</t>
  </si>
  <si>
    <t>El Heptameron</t>
  </si>
  <si>
    <t>El Infernicon</t>
  </si>
  <si>
    <t>El Iniciado En El Nuevo Mundo</t>
  </si>
  <si>
    <t>El Juego Aureo</t>
  </si>
  <si>
    <t>El Lemegeton</t>
  </si>
  <si>
    <t>El libro completo de la brujería</t>
  </si>
  <si>
    <t>El libro de la magia divina</t>
  </si>
  <si>
    <t>El libro de la magia roja, negra e infernal de los caldeos y de los egipcios</t>
  </si>
  <si>
    <t>El Libro de las Sombras</t>
  </si>
  <si>
    <t>El Libro de Moises El Arte Espiritual Magico</t>
  </si>
  <si>
    <t>El Libro de San Cipriano</t>
  </si>
  <si>
    <t>El libro del Ki</t>
  </si>
  <si>
    <t>El libro egipcio de los muertos</t>
  </si>
  <si>
    <t>El Libro Negro</t>
  </si>
  <si>
    <t>El Libro Negro Mistico</t>
  </si>
  <si>
    <t>El Libro Sagrado de la Sacerdotisa</t>
  </si>
  <si>
    <t>El Mago de Siberia</t>
  </si>
  <si>
    <t>El Manuscrito Voynich</t>
  </si>
  <si>
    <t>El Necronomicon</t>
  </si>
  <si>
    <t>El NecroNomicon o el Libro de los Nombres Muertos</t>
  </si>
  <si>
    <t>El Ocaso De Los Mayas</t>
  </si>
  <si>
    <t>El Pentagrama Esoterico</t>
  </si>
  <si>
    <t>El retorno de los brujos</t>
  </si>
  <si>
    <t>El ritual magico de Sanctum regnum</t>
  </si>
  <si>
    <t>El sello de dios nueve estudios sobre magia y creencias populares greco-romanas</t>
  </si>
  <si>
    <t>El templo en el hombre Arquitectura sagrada y el hombre perfecto</t>
  </si>
  <si>
    <t>El Verdadero Arte de las Brujas</t>
  </si>
  <si>
    <t>Enciclopedia De Cristales Gemas Y Metales Magicos</t>
  </si>
  <si>
    <t>Enciclopedia de La Magia</t>
  </si>
  <si>
    <t>enhance your esp powers</t>
  </si>
  <si>
    <t>Eros y Magia en el Renacimiento</t>
  </si>
  <si>
    <t>Finding Labyrinths in the Maze An Examination of Some Aspects of Consciousness, Cognition, Perception, and Interpretation towards a Hermeneutics of Visual Art</t>
  </si>
  <si>
    <t>Flower of Life</t>
  </si>
  <si>
    <t>Focus of Life</t>
  </si>
  <si>
    <t>FORBIDDEN KNOWLEDGE - ANTI ESOTERIC POLEMICS AND ACADEMIC RESEARCH</t>
  </si>
  <si>
    <t>Fortune telling with cards</t>
  </si>
  <si>
    <t>FREEMASONRY AND THE OCCULT AT THE COURT OF PETER THE GREAT</t>
  </si>
  <si>
    <t>Full Moon Rituals</t>
  </si>
  <si>
    <t>Funeral and Magical Rituals Among the Komi</t>
  </si>
  <si>
    <t>Galdr - Verbal Rune Magic</t>
  </si>
  <si>
    <t>Global Tyranny Step By Step - The United Nations and the Emerging New World Order</t>
  </si>
  <si>
    <t>Glossary of Gnostic Terms</t>
  </si>
  <si>
    <t>Gnosis- Inside Outside Upside Down</t>
  </si>
  <si>
    <t>God's Last, Best Gift to Mankind- Gnostic Science and the Eschaton in the Vision of John Murray Spear</t>
  </si>
  <si>
    <t>Goetia A Record of Experiments in Demonology</t>
  </si>
  <si>
    <t>Golden Bough</t>
  </si>
  <si>
    <t>Golden Chain and the Lonely Road</t>
  </si>
  <si>
    <t>Grand Grimoire</t>
  </si>
  <si>
    <t>Grandes Enigmas De La Historia 02 - Las Lineas De Nazca</t>
  </si>
  <si>
    <t>Grandes Enigmas De La Historia 04 - Las Logias Masonicas</t>
  </si>
  <si>
    <t>Grandes Enigmas De La Historia 14 - Los Ultimos Dinosaurios</t>
  </si>
  <si>
    <t>Grandes Misterios De La Egiptologia</t>
  </si>
  <si>
    <t>Great Fuss and Fume Over the Omnipotent Oom</t>
  </si>
  <si>
    <t>Grimoire of Chaos Magick</t>
  </si>
  <si>
    <t>Grimoire of Honorius</t>
  </si>
  <si>
    <t>Grimoirium Verum</t>
  </si>
  <si>
    <t>grimorio</t>
  </si>
  <si>
    <t>Grimorio de Astaroth IV</t>
  </si>
  <si>
    <t>Grimorio Herbalismo</t>
  </si>
  <si>
    <t>grimorio verde</t>
  </si>
  <si>
    <t>Grimorium Verum</t>
  </si>
  <si>
    <t>Guide 2 Witchcraft</t>
  </si>
  <si>
    <t>Gypsy Sorcery and Fortune Telling</t>
  </si>
  <si>
    <t>Hagakure - El Libro Del Samurai</t>
  </si>
  <si>
    <t>Hakenkreuz Gammadion Swastika Estrellas Laberintos y Caminos de Los Muertos Vol 2</t>
  </si>
  <si>
    <t>Hechiceria satanica</t>
  </si>
  <si>
    <t>Heptameron</t>
  </si>
  <si>
    <t>Herbs and Their Magical Properties</t>
  </si>
  <si>
    <t>Hermetic and Rosicrucian Mystery</t>
  </si>
  <si>
    <t>Hermetic Arcanum</t>
  </si>
  <si>
    <t>Hieroglyphic Monad</t>
  </si>
  <si>
    <t>Himnos Orficos</t>
  </si>
  <si>
    <t>Historias del Libro Negro</t>
  </si>
  <si>
    <t>Hitler in Argentina</t>
  </si>
  <si>
    <t>Holy Bible</t>
  </si>
  <si>
    <t>Holy Groves in Estonian Religion</t>
  </si>
  <si>
    <t>Hopi Indian Witchcraft and Healing</t>
  </si>
  <si>
    <t>HOW TO CHARGE &amp; FIRE A SIGIL BY PLAYING A VIDEO GAME</t>
  </si>
  <si>
    <t>Human Body in Southern Slavic Folklore</t>
  </si>
  <si>
    <t>Hypnosis - Seven Success Secrets of Hypnotism</t>
  </si>
  <si>
    <t>Hypnosis - The Subconscious Mind</t>
  </si>
  <si>
    <t>Hypnosis for Beginners</t>
  </si>
  <si>
    <t>Ice Magic Introduction</t>
  </si>
  <si>
    <t>Illuminati 666</t>
  </si>
  <si>
    <t>Induction Charm and the Initiation</t>
  </si>
  <si>
    <t>Informe Los Magos Negros</t>
  </si>
  <si>
    <t>Iniciacion del Grado Practicus</t>
  </si>
  <si>
    <t>Iniciando El Camino</t>
  </si>
  <si>
    <t>Instrucciones Alta Magia</t>
  </si>
  <si>
    <t>intermittens</t>
  </si>
  <si>
    <t>intermittens vol 2</t>
  </si>
  <si>
    <t>intermittens vol 3</t>
  </si>
  <si>
    <t>intermittens vol 5</t>
  </si>
  <si>
    <t>intermittens vol 6</t>
  </si>
  <si>
    <t>intermittens vol 7</t>
  </si>
  <si>
    <t>intermittens vol 8</t>
  </si>
  <si>
    <t>Interview with Andrew Chumbley</t>
  </si>
  <si>
    <t>Introduccion a la cabala</t>
  </si>
  <si>
    <t>Introduction To Magic</t>
  </si>
  <si>
    <t>Introduction to the Seven Faces of Darkness</t>
  </si>
  <si>
    <t>Invocation of the Adversary</t>
  </si>
  <si>
    <t>Irish Witchcraft and Demonology</t>
  </si>
  <si>
    <t>Is Magic Possible Within A Quantum Mechanical Framework</t>
  </si>
  <si>
    <t>Ishtar - Mesopotamian Holy Harlot</t>
  </si>
  <si>
    <t>Jerarquia Completa de los Espiritus Infernales</t>
  </si>
  <si>
    <t>Jewish Supremacism</t>
  </si>
  <si>
    <t>Julius Evola and the UR Group</t>
  </si>
  <si>
    <t>Ketab-e Siyah</t>
  </si>
  <si>
    <t>Key Mysteries</t>
  </si>
  <si>
    <t>Kundalini - A Personal Approach</t>
  </si>
  <si>
    <t>Kundalini Breathing Exercise</t>
  </si>
  <si>
    <t>Kundalini Yoga</t>
  </si>
  <si>
    <t>La Biblia De Las Brujas 2 El Camino De Las Brujas</t>
  </si>
  <si>
    <t>La Biblia Satanica</t>
  </si>
  <si>
    <t>La Casa De La Noche</t>
  </si>
  <si>
    <t>La Ciudad Inca De Machu Picchu</t>
  </si>
  <si>
    <t>La Corte de Lucifer</t>
  </si>
  <si>
    <t>La gallina negra</t>
  </si>
  <si>
    <t>La Guerra De Troya</t>
  </si>
  <si>
    <t>La Iniciacion - a todos los cansados de aprender que desean saber</t>
  </si>
  <si>
    <t>La Leyenda Del Rey Arturo</t>
  </si>
  <si>
    <t>La Magia de Arbatel</t>
  </si>
  <si>
    <t>la magia de las velas</t>
  </si>
  <si>
    <t>La magia del templo</t>
  </si>
  <si>
    <t>La Magia Sagrada de Abramelin</t>
  </si>
  <si>
    <t>La practica de la evocacion magica</t>
  </si>
  <si>
    <t>La Qabalah Desvelada</t>
  </si>
  <si>
    <t>La Sabana Santa Y Otros Misterios Cristianos</t>
  </si>
  <si>
    <t>La sagrada biblia version lucifer</t>
  </si>
  <si>
    <t>La Serpiente Celeste</t>
  </si>
  <si>
    <t>La Tumba De Tutankamon</t>
  </si>
  <si>
    <t>La Voz Del Silencio</t>
  </si>
  <si>
    <t>Lalitopakyana</t>
  </si>
  <si>
    <t>Las Conjuraciones y la Invocacion del Rey Salomon</t>
  </si>
  <si>
    <t>Las Cuatro Sendas Del Chaman</t>
  </si>
  <si>
    <t>Las Piramides De Egipto</t>
  </si>
  <si>
    <t>Left-Hand Path and Right-Hand Path</t>
  </si>
  <si>
    <t>Legends of the Gods</t>
  </si>
  <si>
    <t>Lesser Absorbing Ritual of the Pentagram of Set</t>
  </si>
  <si>
    <t>Letter from a Luciferean</t>
  </si>
  <si>
    <t>Levogyrate Tantra</t>
  </si>
  <si>
    <t>Lex Sacra</t>
  </si>
  <si>
    <t>Liber Azazel</t>
  </si>
  <si>
    <t>Liber Lilith Un Grimorio Gnostico</t>
  </si>
  <si>
    <t>Liber Lupinus</t>
  </si>
  <si>
    <t>Liber Nicht</t>
  </si>
  <si>
    <t>Libro Wicca Vii Venezuela</t>
  </si>
  <si>
    <t>Logos mantram magia</t>
  </si>
  <si>
    <t>Londinium Temple Strain</t>
  </si>
  <si>
    <t>Los 72 Genios de la Cabala</t>
  </si>
  <si>
    <t>Los Caballeros Templarios</t>
  </si>
  <si>
    <t>Los Grandes Misterios De La Historia</t>
  </si>
  <si>
    <t>Los Hijos de Lucifer</t>
  </si>
  <si>
    <t>Los Manuscritos Del Mar Muerto</t>
  </si>
  <si>
    <t>Los Misterios De Las Tumbas Egipcias</t>
  </si>
  <si>
    <t>Los Moais De La Isla De Pascua</t>
  </si>
  <si>
    <t>Los Reinos Elementales Magia De Los Elementos</t>
  </si>
  <si>
    <t>Luciferian Goetia</t>
  </si>
  <si>
    <t>Luciferian Path &amp; The Witches Sabbat</t>
  </si>
  <si>
    <t>Luciferian Sorcery</t>
  </si>
  <si>
    <t>Luciferian Sorcery and Set - Typhon</t>
  </si>
  <si>
    <t>Luciferian Witchcraft - An Introduction</t>
  </si>
  <si>
    <t>magia - hechizos y rituales de amor</t>
  </si>
  <si>
    <t>Magia Astral</t>
  </si>
  <si>
    <t>Magia Blanca y Magia Negra</t>
  </si>
  <si>
    <t>Magia Ceremonial y el Poder de la Evocacion</t>
  </si>
  <si>
    <t>Magia del caos</t>
  </si>
  <si>
    <t>Magia Elemental</t>
  </si>
  <si>
    <t>Magia Sexualis- Sex, Secrecy, and Liberation in Modern Western Esotericism</t>
  </si>
  <si>
    <t>Magia un tratado sobre ocultismo natural</t>
  </si>
  <si>
    <t>Magia Y Ocultismo En El Siglo XIX</t>
  </si>
  <si>
    <t>Magic and Spells</t>
  </si>
  <si>
    <t>Magic and the Inconvenience Factor</t>
  </si>
  <si>
    <t>Magic and Wyrd</t>
  </si>
  <si>
    <t>Magic in ancient Egypt</t>
  </si>
  <si>
    <t>Magic of Illuminnates</t>
  </si>
  <si>
    <t>Magic Of NLP Demystified - A Pragmatic Guide To Communication</t>
  </si>
  <si>
    <t>Magic of the Future</t>
  </si>
  <si>
    <t>Magical Use of Voice</t>
  </si>
  <si>
    <t>Magick - The Order of the GBG</t>
  </si>
  <si>
    <t>Magick and Hypnosis</t>
  </si>
  <si>
    <t>Magick Path of Tantra</t>
  </si>
  <si>
    <t>Magion el sagrado arte</t>
  </si>
  <si>
    <t>Magnum Opus of Twilight Yoga</t>
  </si>
  <si>
    <t>Make a Rune Set</t>
  </si>
  <si>
    <t>Malleus Maleficarum</t>
  </si>
  <si>
    <t>Malleus Maleficarum 2</t>
  </si>
  <si>
    <t>Mantras</t>
  </si>
  <si>
    <t>Manual De Acupuntura - Medicina</t>
  </si>
  <si>
    <t>Manual de Brujeria y Hechiceria</t>
  </si>
  <si>
    <t>Manual de Inquisidores</t>
  </si>
  <si>
    <t>Manual de magia practica</t>
  </si>
  <si>
    <t>Mars Cocidius and the Redcaps in Lancashire</t>
  </si>
  <si>
    <t>Meaning and History</t>
  </si>
  <si>
    <t>Meanings of the Runes</t>
  </si>
  <si>
    <t>Medicina Vibracional</t>
  </si>
  <si>
    <t>Meditation Handbook</t>
  </si>
  <si>
    <t>Merkaba - Star Tetrahedron - Flower of Life</t>
  </si>
  <si>
    <t>Metatron</t>
  </si>
  <si>
    <t>Midnights Circle - A Commentary of AZOTHOZ</t>
  </si>
  <si>
    <t>Mind Change Techniques</t>
  </si>
  <si>
    <t>Mind Its Mysteries and Control</t>
  </si>
  <si>
    <t>Mind Powers - How to Use and Control Your Unlimited Potential</t>
  </si>
  <si>
    <t>Mircea Eliade and the Kundalini</t>
  </si>
  <si>
    <t>Munich Manual</t>
  </si>
  <si>
    <t>Mutus Liber Latomorum</t>
  </si>
  <si>
    <t>Mysteria 1</t>
  </si>
  <si>
    <t>Myth of the Burning Times</t>
  </si>
  <si>
    <t>Necronomicon - THE R'LYEH TEXT</t>
  </si>
  <si>
    <t>Nephilim, Nefilim, Elohim, Annunaki</t>
  </si>
  <si>
    <t>New Energy Ways</t>
  </si>
  <si>
    <t>Next of Kin to Chaos</t>
  </si>
  <si>
    <t>Night Magick</t>
  </si>
  <si>
    <t>Nigromancia y mortis</t>
  </si>
  <si>
    <t>Northwoods Document</t>
  </si>
  <si>
    <t>Notes on Pagan India</t>
  </si>
  <si>
    <t>Occult Chemistry</t>
  </si>
  <si>
    <t>Occult Magic</t>
  </si>
  <si>
    <t>Occult Societies</t>
  </si>
  <si>
    <t>Occult Technology of Power</t>
  </si>
  <si>
    <t>Old Egyptian Medical Papyri</t>
  </si>
  <si>
    <t>Omraam-Mikhael-La-Intuicion</t>
  </si>
  <si>
    <t>On Communication with Set</t>
  </si>
  <si>
    <t>On Set</t>
  </si>
  <si>
    <t>On the Corpus Hermeticum</t>
  </si>
  <si>
    <t>On the Cosmic Hunt in North Eurasian Rock Art</t>
  </si>
  <si>
    <t>Oracle of the Tarot</t>
  </si>
  <si>
    <t>Origin of the Qabalah</t>
  </si>
  <si>
    <t>Oujia cazadora</t>
  </si>
  <si>
    <t>Ouranian - Barbaric and the Use of Barbarous Tongues</t>
  </si>
  <si>
    <t>Ouranian Barbaric Dictionary</t>
  </si>
  <si>
    <t>Ouranian barbaric FAQ 3</t>
  </si>
  <si>
    <t>Ouroborus Tantric Experience</t>
  </si>
  <si>
    <t>Out of Body, Out of Mind</t>
  </si>
  <si>
    <t>Ovnis - Rebatiendo A Zecharia Sitchin</t>
  </si>
  <si>
    <t>Pactum</t>
  </si>
  <si>
    <t>Papyri Graecae Magicae</t>
  </si>
  <si>
    <t>Parts of the Soul - A Greek System of Chakras</t>
  </si>
  <si>
    <t>Path of Initiation</t>
  </si>
  <si>
    <t>Pathless Path to Immortality</t>
  </si>
  <si>
    <t>Patron of Sorcery</t>
  </si>
  <si>
    <t>Person And Culture In The Taoist Tradition</t>
  </si>
  <si>
    <t>Picatrix</t>
  </si>
  <si>
    <t>Pistis Sophia</t>
  </si>
  <si>
    <t>Plants of the Gods Their Sacred Healing and Hallucinogenic Powers</t>
  </si>
  <si>
    <t>Play the Bear: Myth and Ritual in East Siberia</t>
  </si>
  <si>
    <t>Poker Without Cards</t>
  </si>
  <si>
    <t>Pondering Imponderables- Occultism in the Mirror of Late Classical Physics</t>
  </si>
  <si>
    <t>Prelude to the Black Arts</t>
  </si>
  <si>
    <t>Principia Chaotica</t>
  </si>
  <si>
    <t>Principia Discordia</t>
  </si>
  <si>
    <t>Problemas Psiquicos</t>
  </si>
  <si>
    <t>Programming and Metaprogramming in THE HUMAN BIOCOMPUTER</t>
  </si>
  <si>
    <t>Prometheus</t>
  </si>
  <si>
    <t>Prophetikos</t>
  </si>
  <si>
    <t>Prose Edda</t>
  </si>
  <si>
    <t>Puja of the Three Super Faculties</t>
  </si>
  <si>
    <t>Qablah 4 Beginners</t>
  </si>
  <si>
    <t>QBL or The Brides Reception</t>
  </si>
  <si>
    <t>Quiromancia</t>
  </si>
  <si>
    <t>Reclaiming the Pagan Worldview</t>
  </si>
  <si>
    <t>Reflections on Tantra</t>
  </si>
  <si>
    <t>Relato de un Exorcismo</t>
  </si>
  <si>
    <t>Religious Tenants of the Yezidi</t>
  </si>
  <si>
    <t>Revelations of an Insider</t>
  </si>
  <si>
    <t>Revista - Enigmas 01 2014</t>
  </si>
  <si>
    <t>Rite of Shaitan</t>
  </si>
  <si>
    <t>Rite of the Opposer</t>
  </si>
  <si>
    <t>Rite of the Werewolf</t>
  </si>
  <si>
    <t>Ritual A La Aparicion Visible</t>
  </si>
  <si>
    <t>Ritual Romano de Exorcismos</t>
  </si>
  <si>
    <t>Rituale Romanum</t>
  </si>
  <si>
    <t>Rituales de la Orden Martinista Segundo Templo</t>
  </si>
  <si>
    <t>Rituales e Iniciaciones en las Sociedades Secretas</t>
  </si>
  <si>
    <t>Ruby Tablet of Set</t>
  </si>
  <si>
    <t>Rudraksha</t>
  </si>
  <si>
    <t>Rune = Magic</t>
  </si>
  <si>
    <t>Rune Ceremonials</t>
  </si>
  <si>
    <t>Rune Magic</t>
  </si>
  <si>
    <t>Rune Readings</t>
  </si>
  <si>
    <t>Rune Yoga Course</t>
  </si>
  <si>
    <t>Sabbatic Kabala of the Crooked Path</t>
  </si>
  <si>
    <t>Sacred Magic Of Abramelin The Mage I</t>
  </si>
  <si>
    <t>Sacred Magic Of Abramelin The Mage III</t>
  </si>
  <si>
    <t>Sami Shamanism The Arctic Dimension</t>
  </si>
  <si>
    <t>Sanatana Dharma Gita</t>
  </si>
  <si>
    <t>Sanctum Regnum</t>
  </si>
  <si>
    <t>Sapphire Tablet of Set</t>
  </si>
  <si>
    <t>Satanicon</t>
  </si>
  <si>
    <t>Satanism - An Examination of Satanic Black Magic</t>
  </si>
  <si>
    <t>Satanism - Tantrism and the Left Hand Path</t>
  </si>
  <si>
    <t>Satanist's Diaries - I'm Walking Backwards to Xmas</t>
  </si>
  <si>
    <t>Scientific Magic</t>
  </si>
  <si>
    <t>Secret Book of Alchemy</t>
  </si>
  <si>
    <t>Secret Fire</t>
  </si>
  <si>
    <t>Secret of the Dark Mirror</t>
  </si>
  <si>
    <t>Secret of the Gothic God of Darkness</t>
  </si>
  <si>
    <t>Secrets and How to Keep Them</t>
  </si>
  <si>
    <t>Seeds of the World Tree</t>
  </si>
  <si>
    <t>Sefer-Ha-Kabbalah</t>
  </si>
  <si>
    <t>Segunda Leccion Teorica</t>
  </si>
  <si>
    <t>Seidr Magic</t>
  </si>
  <si>
    <t>Sepher Ha Zohar - Sifra Detzniyutha</t>
  </si>
  <si>
    <t>Sepher Ha-Bahir</t>
  </si>
  <si>
    <t>Sepher Yetzirah</t>
  </si>
  <si>
    <t>Servitor Creation</t>
  </si>
  <si>
    <t>Set in Egyptian Theology</t>
  </si>
  <si>
    <t>Set it Straight</t>
  </si>
  <si>
    <t>Seth in the Magickal Texts</t>
  </si>
  <si>
    <t>Setian Divination</t>
  </si>
  <si>
    <t>Seven Shades of Solitude</t>
  </si>
  <si>
    <t>Seven Yogas for Postmoderns</t>
  </si>
  <si>
    <t>Shadow over Philistia- A review of the Cult of Dagon</t>
  </si>
  <si>
    <t>Shamanismo, Brujeria y Poder</t>
  </si>
  <si>
    <t>Sigil Magic</t>
  </si>
  <si>
    <t>Sigils in Theory and Practice</t>
  </si>
  <si>
    <t>Sigils Servitors &amp; Godforms</t>
  </si>
  <si>
    <t>Sigils, Servitors and Godforms</t>
  </si>
  <si>
    <t>Six Ways of Knowledge</t>
  </si>
  <si>
    <t>Sobre Cabala y Judaismo</t>
  </si>
  <si>
    <t>Solve et Coagula- Attitudes Toward the Ambrosial Aspects of Human Seed in Certain Yogic Traditions and in the Sexual Magick of Aleister Crowley</t>
  </si>
  <si>
    <t>States of Consciousness and Rock and Cave Art</t>
  </si>
  <si>
    <t>Sumerian Gods and Goddesses</t>
  </si>
  <si>
    <t>Sumerian Mythology</t>
  </si>
  <si>
    <t>Summa Daemoniaca</t>
  </si>
  <si>
    <t>Summoning Spirits</t>
  </si>
  <si>
    <t>Sword Of Moses</t>
  </si>
  <si>
    <t>Symbolism</t>
  </si>
  <si>
    <t>Symbolism of the Tarot</t>
  </si>
  <si>
    <t>Symbols of Protection The Significance of Animal-ornamented Shields in Early Anglo-Saxon England</t>
  </si>
  <si>
    <t>Symbols of the Invisible Fraternity of Freemasons</t>
  </si>
  <si>
    <t>Tabula Maxima Hiperborea</t>
  </si>
  <si>
    <t>Tacticus discordianorum</t>
  </si>
  <si>
    <t>Tannhauser</t>
  </si>
  <si>
    <t>Tantra el arte del amor consciente</t>
  </si>
  <si>
    <t>Tantra of Blowing the Mind</t>
  </si>
  <si>
    <t>Tantric Body</t>
  </si>
  <si>
    <t>Tantrum Magick</t>
  </si>
  <si>
    <t>Tarot Cards</t>
  </si>
  <si>
    <t>Tarot Egipcio y Kabala</t>
  </si>
  <si>
    <t>Tartessos Sociedad Y Mundo Funerario</t>
  </si>
  <si>
    <t>Teachings Rosicrucians 16 &amp; 17 Cent</t>
  </si>
  <si>
    <t>Technicians Guide to the Left Hand Path</t>
  </si>
  <si>
    <t>Telekinesis</t>
  </si>
  <si>
    <t>Telekinesis techniques</t>
  </si>
  <si>
    <t>Telekinesisnow</t>
  </si>
  <si>
    <t>Telepathy</t>
  </si>
  <si>
    <t>Temple of Set - Religion and Daemonology</t>
  </si>
  <si>
    <t>Templum 99 - Thelema</t>
  </si>
  <si>
    <t>Tertium Organum - A Setian View</t>
  </si>
  <si>
    <t>Testamento de Salomon</t>
  </si>
  <si>
    <t>Teuton</t>
  </si>
  <si>
    <t>Teutonic Magic</t>
  </si>
  <si>
    <t>Teutonic Religion</t>
  </si>
  <si>
    <t>Textos de Qumran</t>
  </si>
  <si>
    <t>Thagirion</t>
  </si>
  <si>
    <t>The Abyss and Tabaet</t>
  </si>
  <si>
    <t>The Apohpenion</t>
  </si>
  <si>
    <t>The Black Raven</t>
  </si>
  <si>
    <t>The Book of Ceremonial Magic</t>
  </si>
  <si>
    <t>The Book Of Lucifer</t>
  </si>
  <si>
    <t>The Dark Forces</t>
  </si>
  <si>
    <t>The Devil Hath Laughed</t>
  </si>
  <si>
    <t>The Diary Of A Drug Fiend</t>
  </si>
  <si>
    <t>The Dissimilarity of Ancient Irish Magic from That of the Anglo-Saxons</t>
  </si>
  <si>
    <t>The Doors of Perception</t>
  </si>
  <si>
    <t>The Egyptian Book of the Dead</t>
  </si>
  <si>
    <t>The Egyptian Revival</t>
  </si>
  <si>
    <t>The Equation of Subconscious Resistance</t>
  </si>
  <si>
    <t>The Eqyptian Book of the Dead</t>
  </si>
  <si>
    <t>The God Set</t>
  </si>
  <si>
    <t>The Golden Essence</t>
  </si>
  <si>
    <t>The Great Fuss and Fume Over the Omnipoten Oom</t>
  </si>
  <si>
    <t>The Greater Key of Solomon</t>
  </si>
  <si>
    <t>The Hidden History of Money</t>
  </si>
  <si>
    <t>The History of Magic Including a Clear and Precise Exposition of Its Procedure Its Rites and Its</t>
  </si>
  <si>
    <t>The History of the Emerald Tablet of Hermes</t>
  </si>
  <si>
    <t>The Incredible Rockefellers</t>
  </si>
  <si>
    <t>The Internet Book of Shadows</t>
  </si>
  <si>
    <t>The Jewish Utopia (Authentic Zionist Mein Kampf)</t>
  </si>
  <si>
    <t>The Kabbalah, the Philosophie Cosmique, and the Integral Yoga. A Study in Cross-Cultural Influence</t>
  </si>
  <si>
    <t>The Lamion Contiuum</t>
  </si>
  <si>
    <t>The Life Power</t>
  </si>
  <si>
    <t>The Magic Mushroom Growers Guide</t>
  </si>
  <si>
    <t>The Mystery Revealed</t>
  </si>
  <si>
    <t>The Nature of Magic</t>
  </si>
  <si>
    <t>The Oera Linda Book: From a Manuscript of the Thirteenth Century</t>
  </si>
  <si>
    <t>The Omnipotent Oom</t>
  </si>
  <si>
    <t>The Ouranos Rite</t>
  </si>
  <si>
    <t>The Pagan Book of Words - Prayers, Chants, and Rhymes</t>
  </si>
  <si>
    <t>The PATH</t>
  </si>
  <si>
    <t>The Philosophers Stone</t>
  </si>
  <si>
    <t>THE PLACE OF KABBALAH IN THE DOCTRINE OF RUSSIAN FREEMASONS</t>
  </si>
  <si>
    <t>THE PLEIADES AS OPENINGS, THE MILKY WAY AS THE PATH OF BIRDS, AND THE GIRL ON THE MOON CULTURAL LINKS ACROSS NORTHERN EURASIA</t>
  </si>
  <si>
    <t>The Problem With Magick Books</t>
  </si>
  <si>
    <t>The Psychedelic Experience</t>
  </si>
  <si>
    <t>The Rosicrucian Manifesto</t>
  </si>
  <si>
    <t>The science of magic- A parapsychological model of psychic ability in the context of magical will</t>
  </si>
  <si>
    <t>The Secret Grimoire Of Turiel</t>
  </si>
  <si>
    <t>THE SIGILS BOOK</t>
  </si>
  <si>
    <t>The Strange Case of Ben Kadosh</t>
  </si>
  <si>
    <t>The Sword of Song</t>
  </si>
  <si>
    <t>The Tao of Physics</t>
  </si>
  <si>
    <t>The Tarot</t>
  </si>
  <si>
    <t>Thoughts on Seth</t>
  </si>
  <si>
    <t>Three Green Books - Druidism</t>
  </si>
  <si>
    <t>Thus Spake Zarathustra</t>
  </si>
  <si>
    <t>Tratado de brujeria vasca</t>
  </si>
  <si>
    <t>Tratado esoterico de teurgia</t>
  </si>
  <si>
    <t>Tratado Sobre El Infierno</t>
  </si>
  <si>
    <t>Tree Cults in Northern Magic</t>
  </si>
  <si>
    <t>Trinidad</t>
  </si>
  <si>
    <t>Trithemius Causanus and the Will to the Infinite- A Pre-Faustian Paradigm</t>
  </si>
  <si>
    <t>Tulku Thondup</t>
  </si>
  <si>
    <t>Twilight Yoga III</t>
  </si>
  <si>
    <t>Título Desconocido</t>
  </si>
  <si>
    <t>Ultraculture Journal One</t>
  </si>
  <si>
    <t>Una Ordalia Atribuida Al Rey Salomon En Un Apocrifo Arabe</t>
  </si>
  <si>
    <t>Unleash Your Telekinetic Ability</t>
  </si>
  <si>
    <t>Verbal Rune Magic</t>
  </si>
  <si>
    <t>Vida y Ensenanza de Los Maestros del Lejano Oriente Colleccion Completa</t>
  </si>
  <si>
    <t>Vox Sabbatum</t>
  </si>
  <si>
    <t>Wake of the Red Death</t>
  </si>
  <si>
    <t>Walking - Dead - Draugr</t>
  </si>
  <si>
    <t>Weird Ways of Witchcraft</t>
  </si>
  <si>
    <t>What is Orgone Energy</t>
  </si>
  <si>
    <t>Wicca - A True History of Witchcraft</t>
  </si>
  <si>
    <t>Wicca - Book 2 of Wicca</t>
  </si>
  <si>
    <t>Wicca - Gardnerian Book of Shadows</t>
  </si>
  <si>
    <t>Wicca El Verdadero Arte De Las Brujas</t>
  </si>
  <si>
    <t>Wiccan Spells</t>
  </si>
  <si>
    <t>Within and Beyond</t>
  </si>
  <si>
    <t>Workings of Babalon</t>
  </si>
  <si>
    <t>Worship of Priapus</t>
  </si>
  <si>
    <t>Writings of Nostradamus</t>
  </si>
  <si>
    <t>Yezidi Black Book</t>
  </si>
  <si>
    <t>Yoga Easy Steps</t>
  </si>
  <si>
    <t>Yoni Tantra</t>
  </si>
  <si>
    <t>Zenarchist Cookbook</t>
  </si>
  <si>
    <t>Zoetic Grimoire of Zos</t>
  </si>
  <si>
    <t>Zohar vol 1</t>
  </si>
  <si>
    <t>Árbol Genealógico de Las Religiones Del Mundo</t>
  </si>
  <si>
    <t>Astrologia</t>
  </si>
  <si>
    <t>Astrologia 1</t>
  </si>
  <si>
    <t>Astrologia 2</t>
  </si>
  <si>
    <t>Astrologia 3</t>
  </si>
  <si>
    <t>Astrologia 4</t>
  </si>
  <si>
    <t>Astrologia 7</t>
  </si>
  <si>
    <t>El Enigma Sagrado</t>
  </si>
  <si>
    <t>La Conspiracion Del Mar Muerto</t>
  </si>
  <si>
    <t>Iniciación Humana y Solar</t>
  </si>
  <si>
    <t>Tratado de los Siete Rayos</t>
  </si>
  <si>
    <t>Temple of Set FAQ</t>
  </si>
  <si>
    <t>Satanic Mass</t>
  </si>
  <si>
    <t>Concordancia Mito Fisico Cabalo Hermetica</t>
  </si>
  <si>
    <t>El Enigma De La Esfinge</t>
  </si>
  <si>
    <t>Initiation into Hermetics</t>
  </si>
  <si>
    <t>La Conversion Al Cristianismo Durante Los Primeros Siglos</t>
  </si>
  <si>
    <t>The Magus</t>
  </si>
  <si>
    <t>The Magus Vol 1</t>
  </si>
  <si>
    <t>The Magus Vol 2</t>
  </si>
  <si>
    <t>Cristianismos Perdidos Los Credos Perdidos del Nuevo Testamento</t>
  </si>
  <si>
    <t>Twelve Keys</t>
  </si>
  <si>
    <t>La Prehistoria Biblica Genesis 1-11</t>
  </si>
  <si>
    <t>Biblia Cabalistica</t>
  </si>
  <si>
    <t>The Structure of Intelligence</t>
  </si>
  <si>
    <t>Los Manuscritos del Mar Muerto</t>
  </si>
  <si>
    <t>Enochian Magick Reference</t>
  </si>
  <si>
    <t>The Essential Skills of Magick</t>
  </si>
  <si>
    <t>Misterios De Los Mundos Olvidados</t>
  </si>
  <si>
    <t>Blavatsky y los Maestros</t>
  </si>
  <si>
    <t>Estudio sobre la conciencia</t>
  </si>
  <si>
    <t>La Evolucion de la Vida y la Forma</t>
  </si>
  <si>
    <t>La Fraternidad de Yucatan</t>
  </si>
  <si>
    <t>La sabiduria de los Upanishads</t>
  </si>
  <si>
    <t>Las leyes de la vida superior</t>
  </si>
  <si>
    <t>Los Misterios</t>
  </si>
  <si>
    <t>Visiones de las hijas de Albion</t>
  </si>
  <si>
    <t>Teosofia y Gurus</t>
  </si>
  <si>
    <t>Gemas de Oriente</t>
  </si>
  <si>
    <t>Los origenes del ritual</t>
  </si>
  <si>
    <t>Narraciones ocultistas y cuentos macabros</t>
  </si>
  <si>
    <t>Por las grutas y selvas del Indostan</t>
  </si>
  <si>
    <t>Ocultismo Practico</t>
  </si>
  <si>
    <t>Estudios ocultistas</t>
  </si>
  <si>
    <t>La Voz del Silencio</t>
  </si>
  <si>
    <t>magia experimental manual practico</t>
  </si>
  <si>
    <t>History of Western Magic</t>
  </si>
  <si>
    <t>The Geostrategic Triad - Living with China, Europe and Russia</t>
  </si>
  <si>
    <t>The Grand Chessboard - American Primacy and Its Geostrategic Imperatives</t>
  </si>
  <si>
    <t>ud y el tarot</t>
  </si>
  <si>
    <t>El Sutra del Corazón</t>
  </si>
  <si>
    <t>El Sutra del Diamante</t>
  </si>
  <si>
    <t>Magia Egipcia</t>
  </si>
  <si>
    <t>Angeles Demonios Magos y Teologia Catolica</t>
  </si>
  <si>
    <t>Cultos Mistericos Antiguos</t>
  </si>
  <si>
    <t>De Homero a Los Magos</t>
  </si>
  <si>
    <t>De Homero a los Magos</t>
  </si>
  <si>
    <t>Magic Its Ritual Power And Purpose</t>
  </si>
  <si>
    <t>El Grial Secreto De Los Merovingios</t>
  </si>
  <si>
    <t>20 Grandes Conspiraciones De La Historia</t>
  </si>
  <si>
    <t>Los Padres de la Iglesia I Padres Griegos</t>
  </si>
  <si>
    <t>El Misterio De Los Vampiros Bakaladeros</t>
  </si>
  <si>
    <t>La alquimia explicada</t>
  </si>
  <si>
    <t>La Ciencia Frente Al Misterio</t>
  </si>
  <si>
    <t>El Misterio De La La Masoneria</t>
  </si>
  <si>
    <t>Aliens En Palestina</t>
  </si>
  <si>
    <t>Liber Kaos</t>
  </si>
  <si>
    <t>Chaoism and Chaos Magic</t>
  </si>
  <si>
    <t>Liber MMM</t>
  </si>
  <si>
    <t>LiberNull</t>
  </si>
  <si>
    <t>Mas Alla Del Codigo Da Vinci</t>
  </si>
  <si>
    <t>Seven Scrolls</t>
  </si>
  <si>
    <t>Black Book Omega</t>
  </si>
  <si>
    <t>Sobre la adivinacion Sobre el destino Timeo</t>
  </si>
  <si>
    <t>Diccionario de Simbolos</t>
  </si>
  <si>
    <t>The Book of Ancient Formulas</t>
  </si>
  <si>
    <t>Articulos Selectos Metafisica</t>
  </si>
  <si>
    <t>Mitos y Leyendas Hindues y Budistas</t>
  </si>
  <si>
    <t>Los Maestros de La Gran Logia Blanca</t>
  </si>
  <si>
    <t>Vuelve La Atlantida</t>
  </si>
  <si>
    <t>Gematria Dogma Kabalistico</t>
  </si>
  <si>
    <t>Liber Aash</t>
  </si>
  <si>
    <t>Liber Artemis Iota</t>
  </si>
  <si>
    <t>Liber B Vel Magos</t>
  </si>
  <si>
    <t>Liber Cheth</t>
  </si>
  <si>
    <t>Liber Had</t>
  </si>
  <si>
    <t>Liber Stellae Rubeae</t>
  </si>
  <si>
    <t>Manuscritos De Kabballah</t>
  </si>
  <si>
    <t>Tarot</t>
  </si>
  <si>
    <t>The Necronomicon</t>
  </si>
  <si>
    <t>Liber III Frag</t>
  </si>
  <si>
    <t>Magic Without Tears</t>
  </si>
  <si>
    <t>Resumen MAgik</t>
  </si>
  <si>
    <t>The Book of Lies</t>
  </si>
  <si>
    <t>The Goetia</t>
  </si>
  <si>
    <t>Wicca</t>
  </si>
  <si>
    <t>guia para el practicante solitario</t>
  </si>
  <si>
    <t>La Conspiracion De Los Alquimistas</t>
  </si>
  <si>
    <t>Magia Celta</t>
  </si>
  <si>
    <t>A Small Dictionary Of Pagan Gods and Goddess</t>
  </si>
  <si>
    <t>Win Friends and Influence People</t>
  </si>
  <si>
    <t>A Tarot History Timeline</t>
  </si>
  <si>
    <t>Demonology and Devil Lore Volume 1</t>
  </si>
  <si>
    <t>Demonology and Devil Lore Volume 2</t>
  </si>
  <si>
    <t>Interlinear Apocalypse</t>
  </si>
  <si>
    <t>Planetary Awareness Technique</t>
  </si>
  <si>
    <t>El Oro De Los Dioses</t>
  </si>
  <si>
    <t>Las Naves De Los Dioses</t>
  </si>
  <si>
    <t>Profeta Del Pasado</t>
  </si>
  <si>
    <t>Alchemy The Black Art</t>
  </si>
  <si>
    <t>tratado de la naturaleza humana</t>
  </si>
  <si>
    <t>Magos y Misticos Del Tibet</t>
  </si>
  <si>
    <t>Misterios De La Historia</t>
  </si>
  <si>
    <t>Historia Antigua de Israel II</t>
  </si>
  <si>
    <t>Misterios En El Vaticano</t>
  </si>
  <si>
    <t>charlotte fell Smith</t>
  </si>
  <si>
    <t>La Heptarquia Mistica</t>
  </si>
  <si>
    <t>Liber Secundus</t>
  </si>
  <si>
    <t>Primus</t>
  </si>
  <si>
    <t>Los Enigmas Del 11m</t>
  </si>
  <si>
    <t>Practical Guide To Psychic Self Defense and Well-being</t>
  </si>
  <si>
    <t>Kriminalgeschichte des Christentums</t>
  </si>
  <si>
    <t>La Cara Oculta del Cristianismo</t>
  </si>
  <si>
    <t>Tiwanaku Capital Del Misterio</t>
  </si>
  <si>
    <t>Amor y sexo segun el ocultismo</t>
  </si>
  <si>
    <t>Cabala</t>
  </si>
  <si>
    <t>El adiestramiento de la mente</t>
  </si>
  <si>
    <t>Glastonbury</t>
  </si>
  <si>
    <t>Introduccion a la magia ritual</t>
  </si>
  <si>
    <t>La Cabala Mistica</t>
  </si>
  <si>
    <t>La Sacerdotisa del Mar</t>
  </si>
  <si>
    <t>Magia Aplicada</t>
  </si>
  <si>
    <t>Mystical Qabala</t>
  </si>
  <si>
    <t>Ocultismo practico en la vida diaria</t>
  </si>
  <si>
    <t>Psychic Self Defense</t>
  </si>
  <si>
    <t>Apotheosis Psycherotica</t>
  </si>
  <si>
    <t>Jonesboria Discordia</t>
  </si>
  <si>
    <t>Paganos y Cristianos en Una Época de Angustia</t>
  </si>
  <si>
    <t>El Fascinante Mundo De Lo Oculto</t>
  </si>
  <si>
    <t>Grandes Temas De Lo Oculto Y Lo Insolito</t>
  </si>
  <si>
    <t>Nox Infernus</t>
  </si>
  <si>
    <t>Living in the heart</t>
  </si>
  <si>
    <t>Merkaba Meditation</t>
  </si>
  <si>
    <t>Mother Earth, New Consciousness and Sacred Water</t>
  </si>
  <si>
    <t>The Ancient Secret of the Flower of Life, Volume 1</t>
  </si>
  <si>
    <t>The Key to Solomon's Key</t>
  </si>
  <si>
    <t>Ciencia Secreta</t>
  </si>
  <si>
    <t>Misterios Iniciaticos</t>
  </si>
  <si>
    <t>Paganos y Cristianos en una Epoca de Angustia</t>
  </si>
  <si>
    <t>El misterio de las coincidencias</t>
  </si>
  <si>
    <t>El Chamanismo y las tecnicas arcaicas del extasis</t>
  </si>
  <si>
    <t>Imagenes Y Simbolos</t>
  </si>
  <si>
    <t>historia de las creencias religiosas</t>
  </si>
  <si>
    <t>La Tierra Es Hueca</t>
  </si>
  <si>
    <t>curso filosofia oculta</t>
  </si>
  <si>
    <t>Dogma e Ritual de Alta Magia</t>
  </si>
  <si>
    <t>Dogma y Ritual de Alta Magia</t>
  </si>
  <si>
    <t>Dogma y Ritual de la Alta Magia</t>
  </si>
  <si>
    <t>El Gran Arcano</t>
  </si>
  <si>
    <t>El Libro de los Sabios</t>
  </si>
  <si>
    <t>Historia de la Magia</t>
  </si>
  <si>
    <t>La clave de los grandes misterios</t>
  </si>
  <si>
    <t>La Clave de los Grandes Misterios</t>
  </si>
  <si>
    <t>Las Clavículas de Salomón</t>
  </si>
  <si>
    <t>Las paradojas de la alta ciencia</t>
  </si>
  <si>
    <t>libro de los esplendores</t>
  </si>
  <si>
    <t>Los Misterios de La Cabala</t>
  </si>
  <si>
    <t>Los misterios de la kabbala</t>
  </si>
  <si>
    <t>los vivos y los muertos</t>
  </si>
  <si>
    <t>Ritual magico del santum regnum</t>
  </si>
  <si>
    <t>Ice Magick</t>
  </si>
  <si>
    <t>Mitologia del firmamento Catasterismos</t>
  </si>
  <si>
    <t>Magic History Theory Practice</t>
  </si>
  <si>
    <t>Tartessos Y Otros Enigmas De La Historia</t>
  </si>
  <si>
    <t>Los secretos del triunfo sexual</t>
  </si>
  <si>
    <t>Los secretos del triunfo sexual parte 1</t>
  </si>
  <si>
    <t>La Biblia Desenterrada</t>
  </si>
  <si>
    <t>Figuras jeroglificas</t>
  </si>
  <si>
    <t>Construyamos Arcas</t>
  </si>
  <si>
    <t>Book of Cain</t>
  </si>
  <si>
    <t>Fly the Light</t>
  </si>
  <si>
    <t>Infernal Sabbat Live</t>
  </si>
  <si>
    <t>Interview</t>
  </si>
  <si>
    <t>Maskim Hul</t>
  </si>
  <si>
    <t>Paitisha</t>
  </si>
  <si>
    <t>Luciferian Tantra &amp; Sex Magick</t>
  </si>
  <si>
    <t>Hermetic Renaissance in the Documents Held in the Warburg Institute Archvie</t>
  </si>
  <si>
    <t>Technics of High Magic</t>
  </si>
  <si>
    <t>Psico Astrologia O Astroteurgia</t>
  </si>
  <si>
    <t>Principios De Geomancia Astrológica</t>
  </si>
  <si>
    <t>The Mystic Grimoire Of Mighty Spells and Rituals</t>
  </si>
  <si>
    <t>Agents of Manifestation at the Edge of Chaos</t>
  </si>
  <si>
    <t>Los Misterios De Jesus</t>
  </si>
  <si>
    <t>Occult Glossary</t>
  </si>
  <si>
    <t>Hooligans of Heaven</t>
  </si>
  <si>
    <t>Secretos En La Luna</t>
  </si>
  <si>
    <t>Historias Del Otro Lado</t>
  </si>
  <si>
    <t>El Misterio De La Sabana Santa</t>
  </si>
  <si>
    <t>El Enigma De Baphomet</t>
  </si>
  <si>
    <t>La Biblia y el Legado del Antiguo Oriente</t>
  </si>
  <si>
    <t>Witchcraft Today</t>
  </si>
  <si>
    <t>101 mitos de la biblia</t>
  </si>
  <si>
    <t>Arcana Mundi</t>
  </si>
  <si>
    <t>1984</t>
  </si>
  <si>
    <t>Radiestesia Integral</t>
  </si>
  <si>
    <t>Cause, Principle and Unity - And Essays on Magic</t>
  </si>
  <si>
    <t>The Occult Roots of Nazism</t>
  </si>
  <si>
    <t>Against the Light</t>
  </si>
  <si>
    <t>Gamaliel The Diary of a Vampire</t>
  </si>
  <si>
    <t>Hecate's Fountain</t>
  </si>
  <si>
    <t>Magical Revival</t>
  </si>
  <si>
    <t>Outer Gateways</t>
  </si>
  <si>
    <t>Pop Magic</t>
  </si>
  <si>
    <t>An Outlook On Our Inner Western Way</t>
  </si>
  <si>
    <t>Inner Traditions of Magic</t>
  </si>
  <si>
    <t>Ladder of Lights</t>
  </si>
  <si>
    <t>Language Of The Gods</t>
  </si>
  <si>
    <t>Magical Ritual Methods</t>
  </si>
  <si>
    <t>Qabalistic Concepts</t>
  </si>
  <si>
    <t>Temple Magic</t>
  </si>
  <si>
    <t>The Rollright Ritual</t>
  </si>
  <si>
    <t>Tree Of Evil</t>
  </si>
  <si>
    <t>La realidad oculta</t>
  </si>
  <si>
    <t>Las Reliquias De Hitler</t>
  </si>
  <si>
    <t>Leyenda Santo Grial y Sagrado Corazon</t>
  </si>
  <si>
    <t>El esoterismo de Dante</t>
  </si>
  <si>
    <t>El secreto de las Runas</t>
  </si>
  <si>
    <t>Mitologia General</t>
  </si>
  <si>
    <t>Lo Absurdo Y El Misterio</t>
  </si>
  <si>
    <t>Knight of the Supremacy of the Will</t>
  </si>
  <si>
    <t>Work</t>
  </si>
  <si>
    <t>Fascism-The Bloody Ideology of Darwinism</t>
  </si>
  <si>
    <t>Some Secrets of the Quran</t>
  </si>
  <si>
    <t>The Alliance of The Good</t>
  </si>
  <si>
    <t>The Day of Judgment</t>
  </si>
  <si>
    <t>The Prophet Muhammad</t>
  </si>
  <si>
    <t>La Conjura De Los Reptilianos - Manual De Gestion Illuminati</t>
  </si>
  <si>
    <t>Elemental chaos</t>
  </si>
  <si>
    <t>Cristianismo</t>
  </si>
  <si>
    <t>Cuerpo de Deseos</t>
  </si>
  <si>
    <t>Doctrina Secreta</t>
  </si>
  <si>
    <t>El cuerpo vital</t>
  </si>
  <si>
    <t>Ensenanzas de un iniciado</t>
  </si>
  <si>
    <t>Iniciacion antigua y moderna</t>
  </si>
  <si>
    <t>Filosofia Rosacruz</t>
  </si>
  <si>
    <t>Masoneria y Catolicismo</t>
  </si>
  <si>
    <t>Los Misterios Rosacruces</t>
  </si>
  <si>
    <t>The Secret Doctrine</t>
  </si>
  <si>
    <t>Anthropogenesis</t>
  </si>
  <si>
    <t>Cosmogenesis</t>
  </si>
  <si>
    <t>Isis sin velo Volumen I</t>
  </si>
  <si>
    <t>Nightmare Tales</t>
  </si>
  <si>
    <t>Occultism</t>
  </si>
  <si>
    <t>Studies in Occultism</t>
  </si>
  <si>
    <t>The Key To Theosophy</t>
  </si>
  <si>
    <t>Alchemy Unveiled</t>
  </si>
  <si>
    <t>The 1st Book of Occult Philosophy</t>
  </si>
  <si>
    <t>The 3rd Book of Occult Philosophy</t>
  </si>
  <si>
    <t>Auto Hipnosis</t>
  </si>
  <si>
    <t>Auto hipnosis</t>
  </si>
  <si>
    <t>Alchemy Ancient and Modern</t>
  </si>
  <si>
    <t>The Emerald Tablet</t>
  </si>
  <si>
    <t>Textos Herméticos</t>
  </si>
  <si>
    <t>Golden Tractate</t>
  </si>
  <si>
    <t>Solar Biology</t>
  </si>
  <si>
    <t>New World Order</t>
  </si>
  <si>
    <t>Astrología de la Figura de Aspectos</t>
  </si>
  <si>
    <t>De Mysteriis Aegyptiorum</t>
  </si>
  <si>
    <t>Cabala Nuevas Perspectivas</t>
  </si>
  <si>
    <t>Diccionario Codigo Da Vinci</t>
  </si>
  <si>
    <t>Ancient Faiths Embodied in Ancient Names</t>
  </si>
  <si>
    <t>Espiritualidad Y Teologia Druidica</t>
  </si>
  <si>
    <t>Sobre Iniciaciones Druidicas</t>
  </si>
  <si>
    <t>Tesauro y Diccionario de Objetos Asociados a Ritos Cultos y Creencias</t>
  </si>
  <si>
    <t>Art &amp; Meaning of Magic</t>
  </si>
  <si>
    <t>The Complete Golden Dawn System of Magic</t>
  </si>
  <si>
    <t>The Middle Pillar</t>
  </si>
  <si>
    <t>The Tree of Life - A Study In Magic</t>
  </si>
  <si>
    <t>Twixt Two Worlds</t>
  </si>
  <si>
    <t>Secret Wisdom of the Qabalah</t>
  </si>
  <si>
    <t>El Gran Arte De La Alquimia</t>
  </si>
  <si>
    <t>Cristianismo Primitivo y Paideia Griega</t>
  </si>
  <si>
    <t>Sobre Los Misterios Egipcios</t>
  </si>
  <si>
    <t>As A Man Thinks</t>
  </si>
  <si>
    <t>Seidways</t>
  </si>
  <si>
    <t>Sociedades Secretas y su poder en el siglo XX</t>
  </si>
  <si>
    <t>The New Hermetics, 21st Century Magick for Illumination and Power</t>
  </si>
  <si>
    <t>The Sorcerer's Secrets: Strategies in Practical Magick</t>
  </si>
  <si>
    <t>La Clave Secreta De Los Numeros</t>
  </si>
  <si>
    <t>Historia del esoterismo y de las ciencias ocultas</t>
  </si>
  <si>
    <t>Las Sociedades Secretas</t>
  </si>
  <si>
    <t>En Busca Del Misterio</t>
  </si>
  <si>
    <t>Enigmas Sin Resolver</t>
  </si>
  <si>
    <t>Rituales Orficos</t>
  </si>
  <si>
    <t>Como se Recuerdan las Vidas Pasadas</t>
  </si>
  <si>
    <t>How to be Invisible</t>
  </si>
  <si>
    <t>La Ultima Cena Palabras de Jesus</t>
  </si>
  <si>
    <t>Magic Mushrooms Around the World</t>
  </si>
  <si>
    <t>Kaos</t>
  </si>
  <si>
    <t>Concerning The More Certain Fundamentals Of Astrology</t>
  </si>
  <si>
    <t>Fell Smith</t>
  </si>
  <si>
    <t>Liber Tertius</t>
  </si>
  <si>
    <t>Mysteriorum</t>
  </si>
  <si>
    <t>Rosiecrucian Secrets</t>
  </si>
  <si>
    <t>The Insiders</t>
  </si>
  <si>
    <t>The Arcane Schools</t>
  </si>
  <si>
    <t>La Religión Gnóstica</t>
  </si>
  <si>
    <t>Un manual cabalístico para el mago practicante</t>
  </si>
  <si>
    <t>The Paradigmal Pirate</t>
  </si>
  <si>
    <t>Diccionario de Simbolos Introduccion</t>
  </si>
  <si>
    <t>Biblia y Antiguo Oriente</t>
  </si>
  <si>
    <t>The Basics of Magick</t>
  </si>
  <si>
    <t>El evangelio segun el espiritismo</t>
  </si>
  <si>
    <t>El libro de los mediums</t>
  </si>
  <si>
    <t>Cosmic Consciousness Course</t>
  </si>
  <si>
    <t>The study of solomonac Magick</t>
  </si>
  <si>
    <t>Grades in Occult Societies</t>
  </si>
  <si>
    <t>How is a secret society constructed</t>
  </si>
  <si>
    <t>El libro de las brujas</t>
  </si>
  <si>
    <t>Mind Control, World Control - The Encyclopedia of Mind Control</t>
  </si>
  <si>
    <t>Psicoterapia y Espiritualidad</t>
  </si>
  <si>
    <t>Y Que Si Jesus No Hubiera Nacido</t>
  </si>
  <si>
    <t>Against The Light</t>
  </si>
  <si>
    <t>Beyond The Mauve Zone</t>
  </si>
  <si>
    <t>Cults Of The Shadow</t>
  </si>
  <si>
    <t>Gamaliel The Diary Of A Vampire</t>
  </si>
  <si>
    <t>Hecates Fountain</t>
  </si>
  <si>
    <t>Hidden Lore</t>
  </si>
  <si>
    <t>Nightside Of Eden</t>
  </si>
  <si>
    <t>Sorceries of Zos</t>
  </si>
  <si>
    <t>The Ninth Arch</t>
  </si>
  <si>
    <t>Outside The Circles Of Time</t>
  </si>
  <si>
    <t>Magical Objection Mastery</t>
  </si>
  <si>
    <t>Eleusis</t>
  </si>
  <si>
    <t>Introduccion A Los Jeroglificos Mayas</t>
  </si>
  <si>
    <t>Natural Cures They Don't Want You To Know About</t>
  </si>
  <si>
    <t>Los Rituales Secretos Del Oto</t>
  </si>
  <si>
    <t>The Secret Rituals O.T.O.</t>
  </si>
  <si>
    <t>La Verdadera Blavatsky</t>
  </si>
  <si>
    <t>Filosofia Antigua Misterios Y Magia</t>
  </si>
  <si>
    <t>Artículo</t>
  </si>
  <si>
    <t>Ejercicios y Practicas Ocultas</t>
  </si>
  <si>
    <t>Magick in the virtual world</t>
  </si>
  <si>
    <t>Thule Expedition</t>
  </si>
  <si>
    <t>Ordo Templi Orientis</t>
  </si>
  <si>
    <t>Cristo y las Religiones de la Tierra 2 3 Religiones de los Pueblos y de las Culturas</t>
  </si>
  <si>
    <t>Esencia de las Ensenanzas</t>
  </si>
  <si>
    <t>Escape De La Caldera</t>
  </si>
  <si>
    <t>Curso Rúnico</t>
  </si>
  <si>
    <t>runas</t>
  </si>
  <si>
    <t>El Primate Elegido</t>
  </si>
  <si>
    <t>La Rebelion De Los Brujos</t>
  </si>
  <si>
    <t>Beyond the Five Senses</t>
  </si>
  <si>
    <t>Clavículas de Salomón</t>
  </si>
  <si>
    <t>La Masoneria Revelada Manual Del Apendiz</t>
  </si>
  <si>
    <t>Arqueologia De Los Misterios Sagrados</t>
  </si>
  <si>
    <t>El Ultimo Protocolo</t>
  </si>
  <si>
    <t>Codice Atlantico</t>
  </si>
  <si>
    <t>Elements Of The Qabalah</t>
  </si>
  <si>
    <t>Geschichte Der Magie</t>
  </si>
  <si>
    <t>Key To The Mysteries</t>
  </si>
  <si>
    <t>The Magical Ritual Of The Sanctum Regnum</t>
  </si>
  <si>
    <t>El Misterio De Los Numeros</t>
  </si>
  <si>
    <t>Aradia, Gospel of the Italian Witches</t>
  </si>
  <si>
    <t>Falun Fofa</t>
  </si>
  <si>
    <t>Invocation to Our Lady of Midnight</t>
  </si>
  <si>
    <t>Como Leer los Registros Akasicos</t>
  </si>
  <si>
    <t>Eismagie</t>
  </si>
  <si>
    <t>Misterios Paganos</t>
  </si>
  <si>
    <t>Por la senda de Baphomet</t>
  </si>
  <si>
    <t>El Vaticano contra Dios</t>
  </si>
  <si>
    <t>El Libro De Las Brujas</t>
  </si>
  <si>
    <t>Codex Seraphinianus</t>
  </si>
  <si>
    <t>The Sacred Magic of Abramelin The Mage Book 1</t>
  </si>
  <si>
    <t>The Sacred Magic of Abramelin The Mage Book 2</t>
  </si>
  <si>
    <t>The Sacred Magic of Abramelin The Mage Book 3</t>
  </si>
  <si>
    <t>Grimorio de Armadel</t>
  </si>
  <si>
    <t>Magia de Abramelin</t>
  </si>
  <si>
    <t>Egyptian Myth and Legend</t>
  </si>
  <si>
    <t>Invocation of Our Lord of Midnight</t>
  </si>
  <si>
    <t>Leyes de los fundamentos de la Torah</t>
  </si>
  <si>
    <t>Lectures on Aincient Philosophy</t>
  </si>
  <si>
    <t>The Secret Teachings of All Ages</t>
  </si>
  <si>
    <t>Lost Keys</t>
  </si>
  <si>
    <t>The Doorway</t>
  </si>
  <si>
    <t>The God of the Witches</t>
  </si>
  <si>
    <t>El Dios De Los Brujos Wicca</t>
  </si>
  <si>
    <t>Wicca Manual de la bruja moderna</t>
  </si>
  <si>
    <t>La Conexion Atlante</t>
  </si>
  <si>
    <t>Los Mensajes Ocultos del Agua</t>
  </si>
  <si>
    <t>Raja Yoga</t>
  </si>
  <si>
    <t>Kabbalah Unveiled</t>
  </si>
  <si>
    <t>The Greater Key of Solomon Vol 1</t>
  </si>
  <si>
    <t>The Greater Key of Solomon Vol 2</t>
  </si>
  <si>
    <t>The Lesser Key of Solomon, Lemegeton</t>
  </si>
  <si>
    <t>The Lesser Key of Solomon, Lemegeton Vol 1</t>
  </si>
  <si>
    <t>The Lesser Key of Solomon, Lemegeton Vol 2</t>
  </si>
  <si>
    <t>Ancient and Modern Initiation</t>
  </si>
  <si>
    <t>Message of the Stars</t>
  </si>
  <si>
    <t>recolecciones de un mistico</t>
  </si>
  <si>
    <t>Teachings of an Initiate</t>
  </si>
  <si>
    <t>Hermes El Maestro De La Sabiduria</t>
  </si>
  <si>
    <t>Desenmascarando El Codigo Davinci</t>
  </si>
  <si>
    <t>Comedy Writing Secrets, 2nd Edition</t>
  </si>
  <si>
    <t>El significado de los numeros</t>
  </si>
  <si>
    <t>Church of Satan</t>
  </si>
  <si>
    <t>Astrotheology And Sidereal Mythology</t>
  </si>
  <si>
    <t>Atlantis, Alien Visitation and Genetic Manipulation</t>
  </si>
  <si>
    <t>Historia del Satanismo y la Brujeria</t>
  </si>
  <si>
    <t>Mis Experiencias en La Religion</t>
  </si>
  <si>
    <t>Protection and Reversal Magick</t>
  </si>
  <si>
    <t>Compleat Tarot Manual</t>
  </si>
  <si>
    <t>Compleat Tarot Pak</t>
  </si>
  <si>
    <t>Historical Calendar Of Jesus</t>
  </si>
  <si>
    <t>Interlinear Nostradamus</t>
  </si>
  <si>
    <t>Judicial Horoscopes</t>
  </si>
  <si>
    <t>Light &amp; Sound</t>
  </si>
  <si>
    <t>Chinese Taoist Sorcery</t>
  </si>
  <si>
    <t>Recurrence of Bear Restoration Symbolism</t>
  </si>
  <si>
    <t>Misterios Y Maravillas Del Rey Arturo Y Los Caballeros De La Mesa Redonda</t>
  </si>
  <si>
    <t>La Serpiente</t>
  </si>
  <si>
    <t>Patanjali y el Yoga</t>
  </si>
  <si>
    <t>Tecnicas del Yoga</t>
  </si>
  <si>
    <t>Libro Bruja Moderna</t>
  </si>
  <si>
    <t>El Golem</t>
  </si>
  <si>
    <t>Witch Cult in Western Europe</t>
  </si>
  <si>
    <t>Enuma Elish</t>
  </si>
  <si>
    <t>Think And Grow Rich</t>
  </si>
  <si>
    <t>Ararat Enigmatico</t>
  </si>
  <si>
    <t>Grandes Enigmas De La Humanidad - El Primer Humano</t>
  </si>
  <si>
    <t>Grandes Enigmas De La Humanidad - Los Experimentos Secretos De La Cia</t>
  </si>
  <si>
    <t>Grandes Enigmas De La Humanidad - Los Hombres Que Volvieron De La Muerte</t>
  </si>
  <si>
    <t>Grandes Enigmas De La Humanidad 02 - Roswel Y El Fenomeo Ovni</t>
  </si>
  <si>
    <t>Grandes Enigmas De La Humanidad 04 - El Triangulo De Las Bermudas</t>
  </si>
  <si>
    <t>Grandes Enigmas De La Humanidad 05 - El Caso De Jack El Destripador</t>
  </si>
  <si>
    <t>Grandes Enigmas De La Humanidad 07 - Rasputin Y Los Ultimos Dias Del Zar</t>
  </si>
  <si>
    <t>Grandes Enigmas De La Humanidad 10 - Visitantes De La Antiguedad</t>
  </si>
  <si>
    <t>Grandes Enigmas De La Humanidad 13 - La Vida Secreta De Jesus</t>
  </si>
  <si>
    <t>Grandes Enigmas De La Humanidad 14 - Las Ciudades Perdidas Del Amazonas</t>
  </si>
  <si>
    <t>Grandes Enigmas De La Humanidad 15 - La Muerte De Hitler</t>
  </si>
  <si>
    <t>Grandes Enigmas De La Humanidad 16 - Barcos Fantasmas</t>
  </si>
  <si>
    <t>Grandes Enigmas De La Humanidad 17 - Mitos Del Antiguo Testamento</t>
  </si>
  <si>
    <t>Grandes Enigmas De La Humanidad 18 - Tumbas Antiguas</t>
  </si>
  <si>
    <t>Grandes Enigmas De La Humanidad: Atlántida La Leyenda Del Continente Perdido</t>
  </si>
  <si>
    <t>Grandes Enigmas De La Humanidad: Los Secretos De Los Faraones</t>
  </si>
  <si>
    <t>La Vida En Marte Y En Otros Planetas</t>
  </si>
  <si>
    <t>Los Milagros En El Mundo Moderno</t>
  </si>
  <si>
    <t>Los Misterios De La Segunda Guerra Mundial</t>
  </si>
  <si>
    <t>Vlad Draculea El Autentico Dracula</t>
  </si>
  <si>
    <t>Chemtrails Rastros Mortales en el Cielo</t>
  </si>
  <si>
    <t>Chemtrails Rastros Mortales En El Cielo</t>
  </si>
  <si>
    <t>Misterios De La Biblia - Una Interpretacion Sorprendente</t>
  </si>
  <si>
    <t>Yo y La Energia</t>
  </si>
  <si>
    <t>Prophecies</t>
  </si>
  <si>
    <t>Encyclopedia of Ancient and Forbidden Secrets</t>
  </si>
  <si>
    <t>El Misterio del Culto Cristiano</t>
  </si>
  <si>
    <t>El adulterio</t>
  </si>
  <si>
    <t>El Aire y la Armonia</t>
  </si>
  <si>
    <t>El Poder de la Respiracion</t>
  </si>
  <si>
    <t>El Segundo Nacimiento</t>
  </si>
  <si>
    <t>La Iglesia, sus formas y el Diablo</t>
  </si>
  <si>
    <t>Personalidad e Individualidad: Clave Esencial para el Desarrollo y Evolución del Ser</t>
  </si>
  <si>
    <t>Sois Dioses</t>
  </si>
  <si>
    <t>El Trabajo Alquimico</t>
  </si>
  <si>
    <t>Galvanoplastia Espiritual</t>
  </si>
  <si>
    <t>Los Dos Arboles Del Paraiso</t>
  </si>
  <si>
    <t>Poderes de La Vida</t>
  </si>
  <si>
    <t>Tratado De Ateologia</t>
  </si>
  <si>
    <t>Arte Y Practica Visualizacion Creativa</t>
  </si>
  <si>
    <t>MONOGRAFIA</t>
  </si>
  <si>
    <t>The Book Of Pleasure The Psychology Of Ecstasy</t>
  </si>
  <si>
    <t>De La Naturaleza De Los Dioses</t>
  </si>
  <si>
    <t>Del Matrimonio Secreto De Los Dioses Con Los Hombres</t>
  </si>
  <si>
    <t>El Libro De La Revelacion Del Santo Grial</t>
  </si>
  <si>
    <t>Life Beyond the Veil</t>
  </si>
  <si>
    <t>Life Beyond the Veil vol 1</t>
  </si>
  <si>
    <t>Life Beyond the Veil vol 3</t>
  </si>
  <si>
    <t>Life Beyond the Veil vol 4</t>
  </si>
  <si>
    <t>Memetic Magic</t>
  </si>
  <si>
    <t>La Conspiracion Del Movimiento Gay</t>
  </si>
  <si>
    <t>Fuerzas Invisibles</t>
  </si>
  <si>
    <t>Melkisedek</t>
  </si>
  <si>
    <t>Tratado sobre ocultismo natural</t>
  </si>
  <si>
    <t>Espiritualidad Hindu</t>
  </si>
  <si>
    <t>Alquimia</t>
  </si>
  <si>
    <t>iniciacion astrologica</t>
  </si>
  <si>
    <t>La Cabala</t>
  </si>
  <si>
    <t>La ciencia de los magos</t>
  </si>
  <si>
    <t>La Reencarnacion</t>
  </si>
  <si>
    <t>tratado Elemental de Magia Practica</t>
  </si>
  <si>
    <t>Archidoxia magica</t>
  </si>
  <si>
    <t>As plantas magicas</t>
  </si>
  <si>
    <t>Tratado de los seres</t>
  </si>
  <si>
    <t>Paragranum</t>
  </si>
  <si>
    <t>SeptemDefensiones</t>
  </si>
  <si>
    <t>VomHonig</t>
  </si>
  <si>
    <t>Monstruos y prodigios</t>
  </si>
  <si>
    <t>Tratado De La Reintegracin De Los Seres</t>
  </si>
  <si>
    <t>Introduction to the Study of the Tarot</t>
  </si>
  <si>
    <t>Mindwar</t>
  </si>
  <si>
    <t>El Papiro de Saqqara</t>
  </si>
  <si>
    <t>Ambiente Historico Cultural de Los Origenes Del Cristianismo</t>
  </si>
  <si>
    <t>Ciencias Secretas De Hitler</t>
  </si>
  <si>
    <t>A Treatise On The Great Art</t>
  </si>
  <si>
    <t>Liber Null &amp; Psychonaut</t>
  </si>
  <si>
    <t>Magick Course</t>
  </si>
  <si>
    <t>Analytic Techniques for Sorcery Interventions</t>
  </si>
  <si>
    <t>Aspects of Evocation</t>
  </si>
  <si>
    <t>Condensed Chaos, An Introduction To Chaos Magic</t>
  </si>
  <si>
    <t>Counting Coup</t>
  </si>
  <si>
    <t>Ego Magick</t>
  </si>
  <si>
    <t>General Essays on Magic</t>
  </si>
  <si>
    <t>Magical Use Of Voice</t>
  </si>
  <si>
    <t>On Cursing</t>
  </si>
  <si>
    <t>Oven Ready Chaos</t>
  </si>
  <si>
    <t>Oven-ready Chaos</t>
  </si>
  <si>
    <t>Permutations</t>
  </si>
  <si>
    <t>Prime chaos</t>
  </si>
  <si>
    <t>Rites that go Wrong</t>
  </si>
  <si>
    <t>Romancing the shadow - psychopaths and the American Dream</t>
  </si>
  <si>
    <t>Running Magical Workshops</t>
  </si>
  <si>
    <t>Shamanism</t>
  </si>
  <si>
    <t>Shamanism 2</t>
  </si>
  <si>
    <t>Shamanism 3</t>
  </si>
  <si>
    <t>TECHNIQUES OF MODERN SHAMANISM</t>
  </si>
  <si>
    <t>The Pseudonomicon</t>
  </si>
  <si>
    <t>Diabolus las Mil Caras del Diablo a lo Largo de la Historia</t>
  </si>
  <si>
    <t>Dios Judio Dios Cristiano</t>
  </si>
  <si>
    <t>El Camino Hacia La Nueva Era</t>
  </si>
  <si>
    <t>De ISIS y OSIRIS</t>
  </si>
  <si>
    <t>Isis y Osiris</t>
  </si>
  <si>
    <t>Servidores De La Luz</t>
  </si>
  <si>
    <t>Los Misterios De Los Templarios</t>
  </si>
  <si>
    <t>Oráculos Caldeos: Fragmentos y testimonios</t>
  </si>
  <si>
    <t>Presumed Opposition</t>
  </si>
  <si>
    <t>Manual De Ejercicios Pleyadianos</t>
  </si>
  <si>
    <t>El libro de la brujeria sajona</t>
  </si>
  <si>
    <t>Sentido Teologico de La Muerte</t>
  </si>
  <si>
    <t>The New Book Of Runes</t>
  </si>
  <si>
    <t>Blast Your Way to Megabucks</t>
  </si>
  <si>
    <t>Sex Secrets Of The Black Magicians Exposed</t>
  </si>
  <si>
    <t>Spare Parts</t>
  </si>
  <si>
    <t>Thundersqueak</t>
  </si>
  <si>
    <t>The Dead Have Never Died</t>
  </si>
  <si>
    <t>Ritual y religion en la formacion de la humanidad</t>
  </si>
  <si>
    <t>Astrologia Cabalistica</t>
  </si>
  <si>
    <t>Misterios Develados</t>
  </si>
  <si>
    <t>The Book of Results</t>
  </si>
  <si>
    <t>The Theatre of Magick</t>
  </si>
  <si>
    <t>YYY</t>
  </si>
  <si>
    <t>The Book Of Raizel</t>
  </si>
  <si>
    <t>Inverosimil Fenomenos Inexplicables</t>
  </si>
  <si>
    <t>Como Llegar A Ser Una Vasija Para Honra</t>
  </si>
  <si>
    <t>Anthology 02 Books of the Apocrypha</t>
  </si>
  <si>
    <t>Anthology 03 Books of the Liturgy</t>
  </si>
  <si>
    <t>Anthology 04 Laws, Trivia and Calendars</t>
  </si>
  <si>
    <t>Anthology 06 The Green Books</t>
  </si>
  <si>
    <t>Anthology 07 Miscellany</t>
  </si>
  <si>
    <t>Anthology 08 A General History</t>
  </si>
  <si>
    <t>Anthology 09 The Books of the Latter Day Reformed Druidss</t>
  </si>
  <si>
    <t>Anthology 10 Oral Histories</t>
  </si>
  <si>
    <t>Arbol Vida 1a Parte</t>
  </si>
  <si>
    <t>Mas Alla de Angeles y Demonios el Secreto de los Illuminati y la Gran Conspiracion</t>
  </si>
  <si>
    <t>Magical and Ritual Uses of Common Herbs</t>
  </si>
  <si>
    <t>Frogs into Princes</t>
  </si>
  <si>
    <t>The Adventures of Anybody</t>
  </si>
  <si>
    <t>Trance-formations - NLP &amp; the Structure of Hypnosis</t>
  </si>
  <si>
    <t>Treating nonsense with nonsense - Strategies for a better life</t>
  </si>
  <si>
    <t>Using Your Brain for A Change</t>
  </si>
  <si>
    <t>Patterns Of The Hypnotic Techniques Of Milton Erickson</t>
  </si>
  <si>
    <t>The Structure Of Magic Vol I</t>
  </si>
  <si>
    <t>The Structure Of Magic Vol II</t>
  </si>
  <si>
    <t>Persuasion Engineering</t>
  </si>
  <si>
    <t>The Metaphysics of the Incarnation</t>
  </si>
  <si>
    <t>El sentido de lo sagrado en las culturas y en las religiones</t>
  </si>
  <si>
    <t>El Amanecer De Los Brujos</t>
  </si>
  <si>
    <t>Disparador Cósmico I</t>
  </si>
  <si>
    <t>Sleight of Mouth - The magic of Conversational Belief Change</t>
  </si>
  <si>
    <t>La Diosa Blanca I</t>
  </si>
  <si>
    <t>Out of Body Experiences</t>
  </si>
  <si>
    <t>El Hombre y Lo Sagrado</t>
  </si>
  <si>
    <t>Historia Antigua de Israel I</t>
  </si>
  <si>
    <t>666 El Numero Sagrado De La Diosa</t>
  </si>
  <si>
    <t>Aberraciones Psiquicas Del Sexo o El Conde De Gabalis</t>
  </si>
  <si>
    <t>English - Old Norse Dictionary</t>
  </si>
  <si>
    <t>Castaneda A Examen</t>
  </si>
  <si>
    <t>A Short Course In Scrying</t>
  </si>
  <si>
    <t>The Enochian Calls</t>
  </si>
  <si>
    <t>An Outline of Occult Science</t>
  </si>
  <si>
    <t>La Conspiracion De Asis</t>
  </si>
  <si>
    <t>Nuevos Cataros Para Montsegur</t>
  </si>
  <si>
    <t>El Hombre Nuevo</t>
  </si>
  <si>
    <t>Vampiros Los Reyes De La Noche</t>
  </si>
  <si>
    <t>Splendor Solis</t>
  </si>
  <si>
    <t>Las Religiones Que Nos Separan</t>
  </si>
  <si>
    <t>Magia Sexual</t>
  </si>
  <si>
    <t>Fue Jehova Un Cosmonauta</t>
  </si>
  <si>
    <t>The Seventh Book of Moses</t>
  </si>
  <si>
    <t>The Sixth Book of Moses</t>
  </si>
  <si>
    <t>Las ciencias ocultas</t>
  </si>
  <si>
    <t>On Demonology &amp; Witchcraft</t>
  </si>
  <si>
    <t>La Otra Atlantida</t>
  </si>
  <si>
    <t>Secretos De La Perdida Atlantida</t>
  </si>
  <si>
    <t>Libro De Las Sombras Alejandrino</t>
  </si>
  <si>
    <t>A Manual Of Occultism</t>
  </si>
  <si>
    <t>La Resurreccion Del Heroe</t>
  </si>
  <si>
    <t>Book of Power</t>
  </si>
  <si>
    <t>El Sendero Del Druida</t>
  </si>
  <si>
    <t>Profetismo en Israel</t>
  </si>
  <si>
    <t>Efesios - El Misterio De Cristo Revelado</t>
  </si>
  <si>
    <t>En Busca De La Edad De Oro</t>
  </si>
  <si>
    <t>The Necronomicon Spell Book</t>
  </si>
  <si>
    <t>El Descubrimiento Del Grial</t>
  </si>
  <si>
    <t>Esoteric Buddhism</t>
  </si>
  <si>
    <t>The Stone Of The Philosophers</t>
  </si>
  <si>
    <t>El Libro Perdido de Enki</t>
  </si>
  <si>
    <t>Ars Notoria - The Notary Art</t>
  </si>
  <si>
    <t>La astrologia en los manuscritos medievales</t>
  </si>
  <si>
    <t>Sabana Santa Respuestas A Un Enigma</t>
  </si>
  <si>
    <t>La Revolucion Terapeutica De Las Piramides</t>
  </si>
  <si>
    <t>Saint faust, impreium Magus</t>
  </si>
  <si>
    <t>Thought Power</t>
  </si>
  <si>
    <t>La danza en espiral</t>
  </si>
  <si>
    <t>La Filosofia de La Libertad</t>
  </si>
  <si>
    <t>El Cristianismo Y Los Misterios De La Antiguedad</t>
  </si>
  <si>
    <t>El Misterios de los RosaCruces</t>
  </si>
  <si>
    <t>Guia para el conocimiento</t>
  </si>
  <si>
    <t>Mitos Y Misterios Egipcios</t>
  </si>
  <si>
    <t>Significado de la sangre</t>
  </si>
  <si>
    <t>Shaping Formless Fire</t>
  </si>
  <si>
    <t>Stealing the Fire From Heaven</t>
  </si>
  <si>
    <t>Hatha Yoga Pradipika</t>
  </si>
  <si>
    <t>The Lost Journals of Nikola Tesla - HAARP</t>
  </si>
  <si>
    <t>Enigmas De La Historia</t>
  </si>
  <si>
    <t>Acient Egyptian History</t>
  </si>
  <si>
    <t>Acient Egyptian History 2</t>
  </si>
  <si>
    <t>Lectures on Alchemy</t>
  </si>
  <si>
    <t>An Essay on Demonology</t>
  </si>
  <si>
    <t>Elizabethan Demonology</t>
  </si>
  <si>
    <t>Our Financial Masters (How the Bank of England controls the British government)</t>
  </si>
  <si>
    <t>The Coming Corporate State</t>
  </si>
  <si>
    <t>The Tibetan Book of the Dead</t>
  </si>
  <si>
    <t>Dictionary of Deities and Demons in the Bible</t>
  </si>
  <si>
    <t>La Arqueologia Misteriosa</t>
  </si>
  <si>
    <t>Hitler La Conspiración de Las Tinieblas</t>
  </si>
  <si>
    <t>Arbetel of Magick</t>
  </si>
  <si>
    <t>Caching Techniques (Hiding &amp; Storing Stuff Safely)</t>
  </si>
  <si>
    <t>Become Evil and Rule the World</t>
  </si>
  <si>
    <t>Why We Bother to Deal with Society</t>
  </si>
  <si>
    <t>Become Evil and Rule the World 2</t>
  </si>
  <si>
    <t>Perform a Ritual Toasting</t>
  </si>
  <si>
    <t>Practice Divinity in Your Own Life</t>
  </si>
  <si>
    <t>The Heroic Society</t>
  </si>
  <si>
    <t>Timing in Greater and Lesser Black Magic</t>
  </si>
  <si>
    <t>Understanding Darkness</t>
  </si>
  <si>
    <t>El secreto de los oraculos</t>
  </si>
  <si>
    <t>Luciferian Initiation</t>
  </si>
  <si>
    <t>Conspiracion Contra Las Sagradas Escrituras</t>
  </si>
  <si>
    <t>Pictorial Key Of The Tarot</t>
  </si>
  <si>
    <t>PKT</t>
  </si>
  <si>
    <t>El Origen Salvaje: Ritos de Sacrificio y Mito entre los Griegos</t>
  </si>
  <si>
    <t>Master Keys of Life &amp; Death</t>
  </si>
  <si>
    <t>Dioniso Mito y Culto</t>
  </si>
  <si>
    <t>El Camino a Eleusis Una solucion al enigma de los misterios</t>
  </si>
  <si>
    <t>SEPHER YETZIRAH</t>
  </si>
  <si>
    <t>An Intro Study Kabalah</t>
  </si>
  <si>
    <t>El Enigma De Los Dinosaurios</t>
  </si>
  <si>
    <t>The Marriage of Heaven and Hell</t>
  </si>
  <si>
    <t>Beyond Grandeur</t>
  </si>
  <si>
    <t>Introduction to the Srudy of the Kabalah</t>
  </si>
  <si>
    <t>Numbers Their Occult Power and Mystic Virtues</t>
  </si>
  <si>
    <t>Tractatus-Logico-Philosophicus</t>
  </si>
  <si>
    <t>The Road to Valhalla</t>
  </si>
  <si>
    <t>La tabla de Isis</t>
  </si>
  <si>
    <t>Los numeros</t>
  </si>
  <si>
    <t>The Eternal Word of Set</t>
  </si>
  <si>
    <t>Science Of Breath</t>
  </si>
  <si>
    <t>El Final de los Tiempos</t>
  </si>
  <si>
    <t>La Escalera Al Cielo</t>
  </si>
  <si>
    <t>Magia y secretos de la mujer mapuche</t>
  </si>
  <si>
    <t>Los misticos de Occidente II</t>
  </si>
  <si>
    <t>Abraham Gonzalez te invita a 'Nohmata Secreto del Mal'. Adéntrate en los arcanos prohibidos, desvela el poder oculto y confronta las verdades más oscuras de lo esotérico. Un viaje sin retorno a la esencia misma del mal.</t>
  </si>
  <si>
    <t>Aleister Crowley te guía a 'El continente perdido y otros ensayos'. Desvela sabiduría arcana, civilizaciones míticas y los secretos más profundos del ocultismo. Un viaje esotérico que desafía la mente y expande la conciencia.</t>
  </si>
  <si>
    <t>Aleister Crowley's 'Liber KKK' (Liber 418) chronicles his profound Enochian visions and perilous journeys through the Aethyrs. A vital text for understanding Thelemic mysticism and the raw experience of cosmic truth.</t>
  </si>
  <si>
    <t>Crowley's Liber Nv: a profound mystical poem unveiling Nuit, goddess of infinite space. This core Thelemic work calls you to embrace your star-nature and boundless potential. Cosmic wisdom in potent verse.</t>
  </si>
  <si>
    <t>Aleister Crowley's essential 'MAgick Book 4' unlocks the secrets of Thelema, ritual, and True Will. A profound guide for occultists on the path to spiritual mastery.</t>
  </si>
  <si>
    <t>Dive into Crowley's seminal guide to Magick. Explore the theory &amp; practice of true will, ritual, and cosmic consciousness. Transform your reality and assert your true self.</t>
  </si>
  <si>
    <t>Crowley's Sepher Sephiroth: an indispensable Qabalistic dictionary. Explore the numerical essence of Hebrew words, unlocking occult symbolism and the hidden depths of the Tree of Life. Essential for decoding magical texts and profound spiritual insights.</t>
  </si>
  <si>
    <t>Unlock potent cosmic forces. Aleister Crowley's essential guide to the Greater Ritual of the Pentagram empowers the practitioner to invoke deities, banish unwanted influences, and master the elements. A core text for practical magic.</t>
  </si>
  <si>
    <t>Jodorowsky restaura el Tarot de Marsella en su esencia original. Un viaje esotérico que revela el simbolismo sagrado de cada arcano para la autocomprensión, la meditación y el camino espiritual. Imprescindible.</t>
  </si>
  <si>
    <t>Unlock the power of Aleister Crowley's Liber XXVII Frag (The Star Ruby). A foundational Thelemic ritual to banish and invoke, aligning your will and shaping your magical reality.</t>
  </si>
  <si>
    <t>Crowley's occult novel: A desperate battle of magickal wills between opposing forces vying to create a "moonchild" – a being destined to shape a new age. Dive into ritual, secret societies, and psychic conflict.</t>
  </si>
  <si>
    <t>Allan Kardec desvela los misterios del más allá. ¿Quiénes somos? ¿De dónde venimos? "El Libro de los Espíritus" canaliza la sabiduría espiritual para entender la vida, la moral y el destino humano.</t>
  </si>
  <si>
    <t>Andre Van Lysebeth desvela el verdadero Tantra. Adéntrate en el culto a lo femenino como fuerza primordial, un camino esotérico que fusiona energía, conciencia y el despertar de la Shakti interior. Transformación y plenitud.</t>
  </si>
  <si>
    <t>Antero Alli's "All Rites Reversed" dares you to dismantle dogma. Explore radical spiritual autonomy by consciously inverting traditional occult rites. Forge your own path, unlock profound personal transformation, and reclaim your power beyond convention.</t>
  </si>
  <si>
    <t>Antero Alli's Angel Tech: Unlock your inner shaman to hack reality. A guide to mastering consciousness, selecting your desired reality, and transforming your perception. Essential for modern alchemists.</t>
  </si>
  <si>
    <t>Anthony Borgia's 'Life in the World Unseen' offers a profound glimpse into the afterlife. Directly channeled accounts reveal the vivid realities of the spirit realm, providing comfort and clarity on what lies beyond physical death. Explore life unseen.</t>
  </si>
  <si>
    <t>Antoine Joseph Pernety's "The Great Art": your guide to profound alchemical wisdom. Unlock the secrets of the Philosopher's Stone, achieve material transmutation, and attain spiritual enlightenment.</t>
  </si>
  <si>
    <t>Anton LaVey's 'Satanic Aphorisms' offers potent, defiant wisdom. Concise insights challenge conventional thought, unveiling a provocative philosophy for the unconventional mind.</t>
  </si>
  <si>
    <t>Anton LaVey's 'Satanic Rituals' delves into the ceremonial heart of modern Satanism. Unearth forbidden rites &amp; powerful invocations for self-empowerment and liberation. A provocative guide to practical Satanic worship.</t>
  </si>
  <si>
    <t>Anton LaVey's 'The Satanic Bible' offers a radical philosophy of self-empowerment, individualism, and rationalism. Challenge dogma, embrace indulgence, and forge your own path. Essential reading for modern Satanism.</t>
  </si>
  <si>
    <t>Dive into Anton LaVey's The Satanic Bible: a provocative manifesto for self-empowerment, rational egoism, and a rejection of traditional piety. It outlines the philosophy of modern Satanism.</t>
  </si>
  <si>
    <t>Prometheus Rising by R.A. Wilson: A mind-bending guide to mastering your own reality. Explore the 8 brain circuits, reprogram your consciousness, and transcend perceived limits. Your journey to mental freedom starts here.</t>
  </si>
  <si>
    <t>Dive into AOS's revolutionary 'Book of Pleasure'. Uncover the Zos Kia gnosis, master sigil magic, and unlock profound self-transformation through the wisdom of pleasure and the Witch Current. An essential esoteric journey.</t>
  </si>
  <si>
    <t>The Gospel of the Witches unveils ancient Italian stregheria. Discover goddess worship, folk magic, and the secret lore of Aradia. A foundational esoteric text for seekers of the Old Religion.</t>
  </si>
  <si>
    <t>Aranegui desvela el universo esotérico de "Los Iberos". Descubre la magia ancestral, los ritos secretos y la profunda sabiduría oculta de una civilización que trascendió la historia. Un viaje al corazón místico.</t>
  </si>
  <si>
    <t>Aristotle's Metaphysics: Delve into the hidden architecture of reality. Explore being, cause, and the divine. An ancient grimoire of ultimate truths, seeking the very essence of existence beyond the physical. A powerful text for understanding the cosmos.</t>
  </si>
  <si>
    <t>Artefio te revela "El libro secreto": un portal a la alquimia y la sabiduría hermética. Desvela los misterios del universo y el poder latente en tu interior. La clave para tu transformación.</t>
  </si>
  <si>
    <t>Arthur Avalon desvela 'El Poder Serpentino'. Un clásico fundamental del esoterismo que explora Kundalini, chakras y tantra. Descubre la energía latente en tu interior para transformar tu conciencia y alcanzar el conocimiento místico.</t>
  </si>
  <si>
    <t>Arthur Conan Doyle channels the spirit Pheneas. Through automatic writing, this esoteric work reveals profound insights on life, death, and the unseen world. A captivating look into a literary legend's spiritual quest.</t>
  </si>
  <si>
    <t>Sherlock Holmes' creator, Arthur Conan Doyle, turns his sharp intellect to the early history of Spiritualism. A captivating journey into seances, mediums, and the relentless search for proof of life beyond death.</t>
  </si>
  <si>
    <t>Arthur Conan Doyle's "History of Spiritualism II" continues the quest for truth beyond the veil. Dive into gripping accounts of mediums, phenomena, and the enduring search for proof of an afterlife. A compelling esoteric journey.</t>
  </si>
  <si>
    <t>Arthur Conan Doyle, beyond Holmes, unveils his profound personal revelation. Explore his compelling journey into spiritualism, offering a vital message on life after death and communication with the unseen world.</t>
  </si>
  <si>
    <t>Arthur E. Powell's deep dive into The Causal Body &amp; The Ego reveals the anatomy of your higher self. Understand your spiritual evolution, karmic patterns, and the subtle vehicles of consciousness that shape your path.</t>
  </si>
  <si>
    <t>Arthur E. Powell unveils the Etheric Double: your vital energy blueprint. Discover its role in health, vitality, and connection to the physical world in this essential occult guide.</t>
  </si>
  <si>
    <t>Dive deep into the architecture of thought with Arthur E. Powell's 'The Mental Body.' Uncover the esoteric blueprint of the mind, its planes, and how consciousness shapes your reality. Essential for understanding your inner universe.</t>
  </si>
  <si>
    <t>Explore Arthur E. Waite's "The Book of Ceremonial Magick." A profound dive into the history, rituals, and grimoires of Western esotericism. Essential for serious students of the occult.</t>
  </si>
  <si>
    <t>Waite's 'Aspects of Masonic Symbolism' unveils the profound esoteric meanings hidden within Freemasonry's rituals. Explore the mystical truths of its ancient emblems.</t>
  </si>
  <si>
    <t>Waite uncovers the hidden truths behind the Templar legacy within Freemasonry. Explore the esoteric links, symbols, and rituals in this essential guide to their mystical intertwining.</t>
  </si>
  <si>
    <t>A.E. Waite's "The Pictorial Key to the Tarot" unveils the profound symbolism and meanings of the iconic Rider-Waite-Smith deck. An indispensable guide for understanding Tarot's esoteric wisdom and practical divination.</t>
  </si>
  <si>
    <t>Aryeh Kaplan's Jewish Meditation: Unlock profound spiritual experiences. Delve into ancient Kabbalistic techniques for inner connection and enlightenment. A definitive guide to mystical Jewish practice.</t>
  </si>
  <si>
    <t>Asad, Ibn te sumerge en 'La Danza de Kali'. Explora los misterios de la destrucción y la creación, la sabiduría oculta y la transformación espiritual. Un viaje esotérico para desvelar los secretos que residen en el corazón de las tinieblas y despertar tu verdadero poder.</t>
  </si>
  <si>
    <t>Dolores Ashcroft te guía en 'Los senderos brillantes'. Desvela verdades ocultas y despierta tu poder interior. El camino esotérico hacia el autoconocimiento y la transformación.</t>
  </si>
  <si>
    <t>El libro "magia" de Ashcroft Dolores desvela los secretos ancestrales para manifestar tu voluntad. Aprende a dominar las fuerzas ocultas y transformar tu realidad desde las raíces. Un despertar ineludible.</t>
  </si>
  <si>
    <t>"El despertar de la fe" de Asvaghosha: un viaje esotérico a la esencia de la conciencia. Desvela los misterios de la mente y la realidad última para encender tu sabiduría interior. Profundo y transformador.</t>
  </si>
  <si>
    <t>Unlock the cosmos with Athanasius Kircher's Aritmologia. Delve into the arcane secrets of numbers, their divine symbolism, and the hidden occult forces that govern existence. A true gem of ancient numerology.</t>
  </si>
  <si>
    <t>Samael Aun Weor revela los misterios de la Medicina Oculta y Magia Práctica. Un manual esencial para la sanación esotérica, el despertar de fuerzas internas y la transformación consciente.</t>
  </si>
  <si>
    <t>Samael Aun Weor's profound guide to Esoteric Kabbalah and Tarot. Unlock ancient wisdom for spiritual awakening and self-transformation.</t>
  </si>
  <si>
    <t>Delve into Samael Aun Weor's profound Esoteric Treatise of Hermetic Astrology. Uncover the spiritual keys to cosmic influence, inner alchemy, and self-mastery through ancient wisdom. Transform your destiny from within.</t>
  </si>
  <si>
    <t>'Gnosis - Manual de Magia Practica' de Samael Aun Weor: tu guía para la sabiduría oculta. Despierta tu poder interior y transforma tu vida con prácticas esotéricas. La magia a tu alcance.</t>
  </si>
  <si>
    <t>Golden Dawn's Fourth Theoretical Lesson: Unlock core esoteric principles. A vital step to advance your occult journey and deepen mastery of hidden mystical wisdom.</t>
  </si>
  <si>
    <t>Desentraña los secretos prohibidos del Edén con Aurora Dorada. "En el jardín del Edén" es un viaje esotérico a la fuente de la creación y la iluminación.</t>
  </si>
  <si>
    <t>Aurora Dorada revela 'Los pilares' del universo mágico. Desentraña los secretos fundacionales del ocultismo y la iniciación esotérica. Un viaje esencial hacia la sabiduría ancestral.</t>
  </si>
  <si>
    <t>Austin Osman Spare's 'Logomachy of Zos' is a deep dive into his unique occult philosophy. Explore the potent war of words and will, the Zos-Kia current, and profound self-transformation through his revolutionary insights into magic and consciousness.</t>
  </si>
  <si>
    <t>Unleash your potential with "A Practical Guide to Modern Magick." Discover step-by-step techniques to master the arcane arts for today's world. Manifest intentions, cast spells, and transform your reality. Your practical journey into magick starts here.</t>
  </si>
  <si>
    <t>Unlock the secrets of Alexandrian Wicca. This sacred Book of Shadows guides you through authentic rituals, potent spells, and ancient wisdom, preserving the heart of a powerful magical tradition for practitioners and seekers alike.</t>
  </si>
  <si>
    <t>Prepare to unveil the Amazing New Mind Power Secret. Tap into your ultimate potential, manifest anything you desire, and command your reality. This profound esoteric guide promises transformative mental mastery.</t>
  </si>
  <si>
    <t>Dive into "Antigua brujeria." From an unknown hand, explore forgotten spells, ancient rituals, and the raw essence of old-world witchcraft. Uncover powerful, timeless occult secrets and rediscover true magic.</t>
  </si>
  <si>
    <t>"Antiguo Oriente" by Unknown. Delve into the enigmatic heart of ancient Eastern occultism. Unveil lost wisdom, forgotten rituals, and profound esoteric truths passed down through untold ages.</t>
  </si>
  <si>
    <t>Ancient Mystic Rites (Unknown Author): Unearth forbidden knowledge. Explore lost rituals and profound esoteric wisdom. Unlock ancient mystical power. For those who dare to seek the truth.</t>
  </si>
  <si>
    <t>Autor desconocido. Contenido incalculable. La Antología del Ocultismo guarda los secretos milenarios y verdades veladas. Un tesoro de conocimiento arcano solo para unos pocos. ¿Estás listo para desvelar lo que no debe ser revelado?</t>
  </si>
  <si>
    <t>AOS - Anathema of Zos: An enigmatic grimoire unlocking forbidden gnosis and radical self-transformation. This unknown author's work dares you to confront the deepest occult currents.</t>
  </si>
  <si>
    <t>"Apikorsus Loon," by an Unknown Author. Delve into forbidden wisdom and spiritual heresy. This esoteric text challenges dogma, inviting minds to embrace truths beyond the conventional. Dare to be the outlier.</t>
  </si>
  <si>
    <t>Unveil the hidden truths behind the Apollo Moon Hoax. This esoteric revelation questions official history, decoding the cosmic deception that reshaped our understanding of space. What ancient secrets or terrestrial powers truly govern the lunar narrative? Dare to know.</t>
  </si>
  <si>
    <t>Discover 'Aradia, Gospel of the Witches': an essential text for modern paganism. It unveils ancient Italian witchcraft, revealing Diana as Witch Queen and Aradia as her daughter, bringing spells, freedom, and the old ways.</t>
  </si>
  <si>
    <t>Aradia, Evangelio de las Brujas: un manuscrito ancestral de autor desconocido. Sus páginas guardan la voz secreta de la Diosa, los ritos ocultos y la verdadera magia ancestral. Un conocimiento velado, esperando solo por ti.</t>
  </si>
  <si>
    <t>Arbatel Of Magick: The Renaissance grimoire unveiling ancient secrets of Olympic Spirits and divine magic. A concise guide to ceremonial rites for spiritual growth and practical results. Essential reading for every serious occultist.</t>
  </si>
  <si>
    <t>Arcana Mvndi Libro de La Penumbra. Un texto velado que revela verdades inmemoriales. Tu llave a los secretos más profundos del cosmos, solo para quien ose mirar más allá de la luz.</t>
  </si>
  <si>
    <t>Uncover the mystic power of Armanen Runes. This ancient esoteric system guides you through Germanic spiritual wisdom &amp; self-transformation. Explore forgotten magic &amp; unlock hidden potential.</t>
  </si>
  <si>
    <t>Ars Almadel: This enigmatic grimoire, by an unknown hand, reveals profound secrets of angelic magic. Discover the celestial altar and commune with divine intelligences for wisdom and hidden knowledge.</t>
  </si>
  <si>
    <t>Explore visionary art born from expanded consciousness. This occult study delves into individual experiences, unveiling the mind's profound imagery and hidden truths of perception. Discover inner realms.</t>
  </si>
  <si>
    <t>Unlock the ancient secrets of spiritual transformation with 'Art of Alchemy - The Doctrine of Inner Light.' This profound text by an unknown master guides you to discover the radiant truth within. A journey to self-enlightenment awaits.</t>
  </si>
  <si>
    <t>Unlock the mysteries of genuine spiritual healing. This potent, anonymous guide reveals ancient techniques to master your inner power and achieve holistic well-being. Embrace the Art of True Healing.</t>
  </si>
  <si>
    <t>'Art of War' by an Unknown Author. Unearth its hidden depths: a timeless grimoire of occult strategy for spiritual mastery &amp; battling unseen forces. Ancient wisdom for the modern mystic.</t>
  </si>
  <si>
    <t>Uncover the multifaceted secrets of Tantra. This esoteric guide delves into its profound philosophy, rituals, and transformative practices, inviting seekers to explore ancient paths to enlightenment. A captivating journey into the unknown, brimming with mystical insights.</t>
  </si>
  <si>
    <t>'Astral Simulacra' by Unknown Author. Unlock forbidden visions: journey through ethereal planes, decipher the universe's true reflections, and master the art of conscious projection.</t>
  </si>
  <si>
    <t>ASTROBIOENERGETICA: Unlock cosmic secrets. This esoteric guide maps universal energies to your vital force, fostering self-mastery &amp; spiritual enlightenment.</t>
  </si>
  <si>
    <t>Uncover the profound connection between astrology and religious life in ancient Greece and Rome. This book reveals how the stars shaped beliefs, rituals, and the very fabric of spirituality for two mighty empires.</t>
  </si>
  <si>
    <t>Astronomy and the Bible: Delve into the esoteric tapestry binding celestial mechanics with sacred scripture. Uncover hidden truths, ancient wisdom, and profound mystical connections.</t>
  </si>
  <si>
    <t>Atana Encantamiento De Las Velas: Un texto de origen desconocido que desvela los secretos ancestrales de la llama. La clave de un poder oculto yace en sus páginas, esperando solo por ti.</t>
  </si>
  <si>
    <t>"Aurora Dorada" del Autor Desconocido. Más que un libro, es un mapa sagrado para la purificación del alma. Sus páginas guardan secretos ancestrales, esperando ser desvelados por ti. Un tesoro velado de sabiduría oculta para tu despertar.</t>
  </si>
  <si>
    <t>"Aurora Dorada - Iniciación del Grado Theoricus": Más allá de lo escrito. Un autor desconocido te susurra verdades veladas. Sumérgete en la sabiduría arcana que solo los elegidos desvelarán. Tu sendero, tu secreto.</t>
  </si>
  <si>
    <t>Desvela el manuscrito secreto 'Aurora Dorada - Iniciación del neófito'. Un autor sin nombre te guía por el umbral del ocultismo. Sabiduría ancestral, revelada solo para ti. ¿Te atreves a iniciar tu camino?</t>
  </si>
  <si>
    <t>"Aurora Dorada - Iniciación del Zelator", Autor Desconocido. No es un libro, es tu primera llave a un saber oculto. Este texto arcano te guiará en los pasos iniciales de un camino secreto, reservado solo para ti.</t>
  </si>
  <si>
    <t>Unlock ancient secrets with 'Golden Dawn - First Theoretical Lesson'. This foundational text, by an unknown master, guides your initial steps into the profound world of occult wisdom and esoteric initiation. Begin your mystical journey.</t>
  </si>
  <si>
    <t>Aurora Dorada - Tercera Leccion Teorica: A vital guide to esoteric principles and occult wisdom. Dive into foundational teachings for the aspiring initiate seeking hidden truths. Author Unknown.</t>
  </si>
  <si>
    <t>Aurum Solis: An enigmatic occult grimoire guiding seekers through alchemical secrets and mystic enlightenment. Unlock forgotten wisdom within its pages.</t>
  </si>
  <si>
    <t>Delve into the heart of ancient Mesopotamia. Uncover the potent magic, dark sorcery, and forgotten occult rituals of Babylon. A compelling exploration of timeless esoteric power.</t>
  </si>
  <si>
    <t>"Banishing the Slave Gods" challenges your reality. Uncover occult methods to shatter invisible chains, dismantle archaic powers, and reclaim ultimate spiritual sovereignty. Forge your own destiny.</t>
  </si>
  <si>
    <t>Master the fundamental "tech" of the mystical. "Basic Technologies of Witchcraft" reveals actionable methods for wielding occult power. Your guide to unlocking ancient magic.</t>
  </si>
  <si>
    <t>Unlock the hidden symbolism of the bear. An esoteric journey into its ancient spiritual power, its sacred role in human psyche, and its place in occult ritual.</t>
  </si>
  <si>
    <t>From an Unknown Author comes 'Beholders of Night'. Plunge into the depths of forbidden knowledge and occult secrets. This cryptic tome promises to unveil truths hidden in shadow, for those bold enough to truly see.</t>
  </si>
  <si>
    <t>Unearth the secrets of creation with 'Berashith,' an ancient esoteric manuscript by an unknown author. Delve into the profound mysteries of existence, concealed truths, and primordial wisdom. Your initiation begins here.</t>
  </si>
  <si>
    <t>Explore the forbidden. 'Black Magic Curses &amp; Spells' unveils ancient rituals &amp; dark incantations. Delve into potent secrets, master unseen forces, and command true power. For those brave enough to walk the path of the occult.</t>
  </si>
  <si>
    <t>Seek mastery? The Black Pullet offers ancient grimoire instructions for crafting powerful talismans &amp; rings to command wealth, love &amp; unseen forces. Unlock potent esoteric knowledge.</t>
  </si>
  <si>
    <t>Dare to explore the forbidden currents of Black Witchcraft. This text unveils potent, shadowed rites and ancient knowledge for those ready to wield formidable occult power.</t>
  </si>
  <si>
    <t>'Blackout and Sigils': Master the void, forge powerful sigils. Unlock hidden esoteric knowledge to manifest your will and reshape reality itself.</t>
  </si>
  <si>
    <t>Blue Planet Project by Unknown Author. Unlock hidden files detailing secret alien operations, government conspiracies, and Earth's cosmic destiny. The truth is far stranger than fiction.</t>
  </si>
  <si>
    <t>Explore the hidden cosmos within. 'Body of God' by an Unknown Author unlocks profound occult secrets, inviting you to experience the divine as never before. A timeless guide to spiritual awakening.</t>
  </si>
  <si>
    <t>Your essential primer to the hidden world of Wicca. 'Book 1 of Wicca' unveils foundational principles, sacred rituals, and the path to spiritual awakening. Start your journey into ancient mysticism today.</t>
  </si>
  <si>
    <t>Journey into the ancient Egyptian underworld with the Book of Am Tuat. This occult guide by an Unknown Author unveils the twelve hours of night, divine judgment, and the secrets of death and rebirth. A profound exploration of the afterlife.</t>
  </si>
  <si>
    <t>Unearth the ultimate secrets within the Book of Doom. Penned by an unknown, this ancient grimoire promises forbidden power, dark prophecies, and a fate no mortal can escape. Tread carefully.</t>
  </si>
  <si>
    <t>Unlock ancient secrets with the 'Book of Gates,' an unknown author's occult manuscript. Journey through the cosmic underworld, navigating divine trials and revealing profound esoteric truths. A timeless guide to ultimate transformation.</t>
  </si>
  <si>
    <t>Unlock the profound secrets of 'Book of Pleasure.' This esoteric text guides you through occult techniques for self-mastery and inner transformation. Discover forgotten wisdom to manifest your deepest desires and transcend the ordinary.</t>
  </si>
  <si>
    <t>Unlock forbidden lore. The Book of Satyrs, from an unknown hand, reveals primal wisdom, ancient rites, and untamed ecstasy. Explore nature's wild magic.</t>
  </si>
  <si>
    <t>Delve into the enigmatic Book of the Witch Moon. This grimoire unveils potent lunar witchcraft, dark rituals, and forgotten arcane secrets. A compelling read for initiates of the hidden arts.</t>
  </si>
  <si>
    <t>Delve into the forbidden lore of the Book of Wamphyri and Shadows. Unearth ancient secrets, dark rituals, and the hidden truths of the undead. A profound journey into occult mysteries awaits.</t>
  </si>
  <si>
    <t>"Book T - The Tarot": Unlock the profound secrets of the Major Arcana. This classic esoteric manuscript, from an unknown origin, reveals the Qabalistic, astrological, and magical keys embedded within each card. A core text for serious occultists.</t>
  </si>
  <si>
    <t>Una clave oculta te espera. Este libro fusiona el budismo con la psicoterapia posmoderna, revelando caminos secretos para la transformación de tu mente. Un tesoro solo para quienes buscan la verdad profunda.</t>
  </si>
  <si>
    <t>Uncover ancient cosmic secrets. The Chaldean Oracles offer profound mystical revelations and divine guidance for the soul's ascent. A foundational text in Western esotericism from an unknown source.</t>
  </si>
  <si>
    <t>Chaos Magick: Your guide to pragmatic sorcery beyond dogma. Discover how belief is your ultimate tool to reshape reality and manifest change. A revolutionary path for powerful, results-oriented magic without limits.</t>
  </si>
  <si>
    <t>Unveil the power of 'Clairvoyance - Seeing With Your Spiritual Eyes.' Discover how to develop your spiritual perception, peer beyond the physical, and unlock profound hidden insights into the world.</t>
  </si>
  <si>
    <t>Unlock your inner eye! This beginner's guide to clairvoyance helps you develop psychic vision and perceive beyond the ordinary. Start your journey into unseen realms today.</t>
  </si>
  <si>
    <t>Unveil the hidden. "Clairvoyance In Today's World" offers a concise guide to developing psychic vision and applying clear perception for navigating modern challenges. See beyond the surface.</t>
  </si>
  <si>
    <t>La Clave Mayor de Salomón: El tesoro esotérico ancestral. Descubre los secretos del poder ceremonial y el dominio de espíritus, revelados solo para ti. Un conocimiento prohibido que pocos conocen.</t>
  </si>
  <si>
    <t>Solo para iniciados: Las Clavículas de Salomón, clave menor. Manual ancestral de un autor desconocido para invocar y dominar espíritus. Un conocimiento arcano, un poder oculto revelado para ti.</t>
  </si>
  <si>
    <t>Unleash your inner warrior. Combat Magick reveals practical techniques for spiritual defense &amp; offense. Master energetic confrontation, protect your space, and assert your will against unseen forces. Empower yourself.</t>
  </si>
  <si>
    <t>Descubre el mapa secreto en cada gesto y cicatriz. "Como Leer El Cuerpo" del Autor Desconocido te revela el lenguaje oculto de la forma humana. Un saber prohibido, ahora a tu alcance, para entender lo que otros no ven. Tu llave al conocimiento interior.</t>
  </si>
  <si>
    <t>"Con el diablo en el cuerpo": el texto arcano de autor desconocido que desvela secretos de posesión y liberación. Un tesoro oculto para quienes buscan la verdad tras el velo.</t>
  </si>
  <si>
    <t>Unearth ancient wisdom in the Corpus Hermeticum. This collection from an unknown author unveils divine knowledge, cosmic principles, and paths to spiritual enlightenment. A timeless guide to esoteric philosophy and the hidden truths of the universe.</t>
  </si>
  <si>
    <t>Ever wondered how to manifest your own magickal entities? This guide reveals ancient techniques for crafting spirit servants, thoughtforms &amp; egregores. Practical, powerful, profound.</t>
  </si>
  <si>
    <t>Explore the profound mysteries behind 'Creation of Anima-Shakti.' Unearth ancient esoteric knowledge to awaken your inner life force and manifest spiritual power. A timeless guide to profound self-creation, from an unknown author.</t>
  </si>
  <si>
    <t>Cristianismo Primitivo y Religiones Mistéricas: Del Autor Desconocido, desvela las raíces ocultas de tu fe. Un viaje a la verdad prohibida, un saber que pocos conocen. Este es tu tesoro.</t>
  </si>
  <si>
    <t>Cronica de CAIN libro de NOD. Desvela los secretos ancestrales del primogénito y su exilio. Un saber silenciado por eones, ahora susurrado para ti. ¿Estás listo para el conocimiento prohibido?</t>
  </si>
  <si>
    <t>Este texto ancestral, de autor desconocido, desvela los velados secretos del Culto al Dios Mithra. Accede a los ritos y simbolismo de una fe que transformó imperios, conocimiento solo para iniciados. Tu puerta a la sabiduría oculta.</t>
  </si>
  <si>
    <t>Dive into the forbidden rites and cosmic horrors of 'Cults of Cthulhu.' Unveil ancient secrets and risk your sanity exploring dark devotion to Eldritch entities. Essential reading for seekers of occult truths.</t>
  </si>
  <si>
    <t>Cultus Sabbati: A powerful, anonymous grimoire unveiling the deep mysteries and gnosis of traditional witchcraft. Explore the esoteric currents of the Sabbatic Craft and its hidden truths.</t>
  </si>
  <si>
    <t>Curso de Filosofia Oculta: La voz anónima que te entrega un saber prohibido. Desvela verdades arcanas, despierta tu mente a los misterios del universo. Un tesoro esotérico que solo espera ser descubierto por ti.</t>
  </si>
  <si>
    <t>La magia rúnica te espera. Este curso es la revelación secreta para desatar el poder ancestral de las Runas. Un tesoro de conocimiento oculto solo para ti, el iniciado.</t>
  </si>
  <si>
    <t>Dive into 'Cycles of Chaos'. This esoteric work fearlessly deconstructs the very essence of initiation, revealing its raw power and guiding you beyond conventional occult paths. A radical unveiling for the true seeker.</t>
  </si>
  <si>
    <t>Unearth forbidden truths hidden in plain sight. This unknown author deciphers ancient symbols, exposing secret societies and the esoteric power they wield. A journey into profound mysteries that reshape reality.</t>
  </si>
  <si>
    <t>Dagon Rising: An unknown author's chilling tome of forbidden lore. Witness the terrifying awakening of an ancient, abyssal deity. The deep calls, promising power or madness to those who answer.</t>
  </si>
  <si>
    <t>Delve into the hidden world of magic with "Dance of the Witches." Rediscover ancient lore, ritual power, and the untamed spirit of the unknown. A captivating occult journey.</t>
  </si>
  <si>
    <t>Dive into "Dark Gods" for forbidden knowledge of ancient entities and cosmic horror. An unknown author unveils terrifying truths hidden beyond our reality. Confront the unspeakable.</t>
  </si>
  <si>
    <t>Dattatreya: Unlock profound, ancient esoteric wisdom. This timeless guide reveals the mysteries of spiritual awakening, ultimate non-duality, and the path to self-mastery from an enigmatic source.</t>
  </si>
  <si>
    <t>Unveil the Dattatreya Rite: A potent esoteric guide to ancient wisdom and mystical practices. Discover profound spiritual transformation and hidden truths for the awakened soul.</t>
  </si>
  <si>
    <t>Deitus: An unknown hand reveals ancient divine secrets. Dive into forbidden occult wisdom, unlock hidden spiritual power, and unveil profound truths. This enigmatic text offers a path to transcendence for the daring seeker.</t>
  </si>
  <si>
    <t>Demonic Bible: An unknown author's cryptic guide to forbidden knowledge and ancient rituals. Explore occult secrets and challenge the veil between worlds.</t>
  </si>
  <si>
    <t>Demonios, los Dioses del Infierno, de Autor Desconocido. Este volumen susurra verdades prohibidas sobre poderes ancestrales. Un conocimiento oculto, un tesoro solo para ti. ¿Te atreves a desvelar su secreto?</t>
  </si>
  <si>
    <t>Unlock forbidden power. 'Demonolatry Rites' offers a potent guide to demonic invocation, pacts, and veneration. Delve into ancient rituals and profound esoteric knowledge for the serious occultist.</t>
  </si>
  <si>
    <t>Uncover ancient demonology and lost biblical secrets. This profound text reveals forbidden knowledge, delving into hidden truths and mysteries long concealed from mankind. A compelling journey into the esoteric.</t>
  </si>
  <si>
    <t>'Description' by Autor Desconocido: A gateway to hidden knowledge. Unravel ancient mysteries and unlock esoteric truths within this enigmatic text.</t>
  </si>
  <si>
    <t>Autor Desconocido desvela en 'Descubriendo el Misterio del Texto Bíblico' las claves herméticas y verdades esotéricas ocultas. Un tesoro de conocimiento ancestral aguarda al lector. Prepárate para una revelación que pocos alcanzarán.</t>
  </si>
  <si>
    <t>Unleash your innate power! 'Develop Your Psychic Abilities' is your practical guide to awakening intuition, clairvoyance, and other extrasensory gifts. Start exploring the unseen today.</t>
  </si>
  <si>
    <t>Devotions &amp; Demonesses explores the profound mysteries where sacred devotion meets the infernal. Discover forbidden rites and the compelling power of dark feminine spirits.</t>
  </si>
  <si>
    <t>Diabolicon: An unknown author's chilling grimoire. Plunge into forbidden infernal wisdom, dark rituals, and the secrets of the abyss. Dare you turn its shadowed pages?</t>
  </si>
  <si>
    <t>Descifra las mil caras del Diablo en la historia con 'Diabolus'. Obra única de Autor Desconocido, guardada por siglos. Este compendio secreto revela su esencia, solo para los elegidos. Una verdad velada te espera.</t>
  </si>
  <si>
    <t>Sumérgete en lo prohibido. El Diccionario de Religiones, Denominaciones y Sectas (Autor Desconocido) desvela verdades ocultas y misterios de cultos y credos. Tu llave a mundos secretos, solo para quienes buscan el conocimiento verdadero.</t>
  </si>
  <si>
    <t>El "Diccionario del diablo" del Autor Desconocido: un portal a la sabiduría oculta. Sus páginas guardan secretos esotéricos prohibidos, destinados solo a quien se atreva a abrirlos. Tu tesoro velado.</t>
  </si>
  <si>
    <t>Unearth forbidden secrets with the Infernal Dictionary. A captivating compendium detailing demons, spirits, and infernal entities. Dive into the occult abyss and unlock their ancient mysteries.</t>
  </si>
  <si>
    <t>Un compendio secreto del Autor Desconocido. Desvela las verdaderas identidades y dominios de demonios, monstruos y fantasmas. Tu guía para cruzar el velo y acceder a conocimientos celosamente ocultos. Solo para ti.</t>
  </si>
  <si>
    <t>Uncover hidden truths. Military &amp; government insiders expose top-secret revelations shaping modern history. What if everything you knew was a lie?</t>
  </si>
  <si>
    <t>Unveil the true, hidden path to effortlessly quit smoking. This esoteric guide unlocks subconscious power and energetic freedom, offering an almost magical easy way to break nicotine's grip. It's more than a method; it's liberation.</t>
  </si>
  <si>
    <t>Explore the occult depths of 'Egyptian Medicine.' An unknown author unveils ancient healing rituals, mystical remedies, and the spiritual science behind health. Unearth forgotten wisdom from the land of pharaohs.</t>
  </si>
  <si>
    <t>El 12 Planeta Ilustrado: Un tesoro visual y textual. Revela el conocimiento ancestral oculto por siglos sobre Nibiru y nuestros orígenes. Autor Desconocido. Esta verdad es solo para quien esté listo para desvelarla.</t>
  </si>
  <si>
    <t>El arte completo de la brujería: Un legado oculto te aguarda. Sus páginas revelan la llave al poder ancestral y los secretos que solo los elegidos conocen. Tu verdadero despertar comienza ahora.</t>
  </si>
  <si>
    <t>"El Arte de la Evocación Mágica": Descubre la clave ancestral para contactar planos ocultos. Un saber prohibido, solo para quienes se atreven a desvelar su poder. Tu destino mágico espera.</t>
  </si>
  <si>
    <t>Más que un libro, un susurro de la tierra. "El camino de la Bruja Verde" es la llave a secretos ancestrales de magia natural, un tesoro de sabiduría ocultista aguardando solo tu descubrimiento. El velo se alza.</t>
  </si>
  <si>
    <t>Descubre lo indecible. "El claustro de Silos", obra de autoría ignota, revela arcanos que solo los elegidos pueden comprender. Un tesoro esotérico aguarda tu mirada.</t>
  </si>
  <si>
    <t>Autor Desconocido desvela El Código Real. No es un libro, es el acceso a la verdad oculta, negada a la mayoría. Un tesoro de sabiduría ancestral esperando solo por ti. ¿Te atreves a descifrarlo?</t>
  </si>
  <si>
    <t>El Cordón Dorado: Un manuscrito sin autor que revela los secretos ancestrales para conectar con tu esencia divina. Descubre el hilo dorado de la sabiduría oculta y desvela tu verdadero poder. ¿Listo para la iniciación?</t>
  </si>
  <si>
    <t>"El Cristianismo Antiguo" (Autor Desconocido) desvela las raíces esotéricas de una fe milenaria. Un mapa oculto a la verdad esencial, aguarda al buscador intrépido. Tu llave a lo que fue silenciado.</t>
  </si>
  <si>
    <t>Un Autor ignoto desvela los hilos invisibles del culto a los santos. Descubre sus ritos secretos, el arte oculto y las cofradías veladas. Una verdad ancestral solo para ti.</t>
  </si>
  <si>
    <t>'El Dios de los Brujos', una joya arcana del Autor Desconocido. Sus páginas revelan el poder ancestral y los secretos velados. Es tuyo el saber que aguarda, si te atreves a buscarlo más allá del umbral.</t>
  </si>
  <si>
    <t>El Enchiridion: Antiguo compendio de sabiduría arcana del Autor Desconocido. Susurros de poder, rituales perdidos y verdades veladas aguardan al buscador. Un tesoro de conocimiento oculto, revelado solo para ti.</t>
  </si>
  <si>
    <t>"El Enigma de La Trinidad", del Autor Desconocido. Un pergamino prohibido que desvela la verdad oculta tras el mayor misterio. Solo para quienes osen levantar el velo y heredar un saber ancestral susurrado a muy pocos.</t>
  </si>
  <si>
    <t>Este es el *otro* evangelio. "El Evangelio de Judas" revela la visión prohibida de un apóstol incomprendido, no un traidor, sino el confidente de la verdad más oscura. Un texto secreto rescatado del olvido para quienes buscan el conocimiento que sacude los cimientos.</t>
  </si>
  <si>
    <t>Este no es un libro cualquiera. "El evangelio del Tíbet", del Autor Desconocido, es un tesoro oculto de sabiduría ancestral. Desentraña sus páginas y desbloquea conocimientos esotéricos que pocos conocen. Tu viaje secreto hacia la verdad comienza aquí.</t>
  </si>
  <si>
    <t>"El Gran Grimorio" del Autor Desconocido: Un tesoro milenario de pactos arcanos y magia prohibida. ¿Te atreves a desvelar el poder oculto que solo tú podrás dominar?</t>
  </si>
  <si>
    <t>Solo los iniciados conocen 'El Gran Grimorio o Dragon Rojo', de autor ignoto. Este volumen ancestral desvela rituales para invocar, dominar y poseer los secretos más profundos. Un poder que pocos se atreven a desvelar, ahora a tu alcance.</t>
  </si>
  <si>
    <t>Autor Desconocido te confía El gran libro de los rituales mágicos. Descubre el poder ancestral y los secretos ocultos que aguardan en sus páginas. Un tesoro esotérico, solo para tus ojos.</t>
  </si>
  <si>
    <t>El Grimorio de Armadel: un misterioso texto de autor ignoto. Contiene las verdaderas claves para la comunicación con inteligencias celestiales. Un saber ancestral y oculto, resguardado por siglos, que ahora espera solo por ti.</t>
  </si>
  <si>
    <t>Accede a 'El Grimorio de las Reencarnaciones', obra prohibida del Autor Desconocido. Desvela los enigmas de tu alma y el ciclo eterno. Un saber ancestral aguarda, solo para ti.</t>
  </si>
  <si>
    <t>El Grimorio del Castillo de Dampierre: un eco de saber prohibido. Sus páginas ocultan llaves a reinos invisibles, rituales ancestrales y verdades arcanas, esperando ser desveladas solo por ti. ¿Te atreves?</t>
  </si>
  <si>
    <t>Desvela el tesoro oculto de la Golden Dawn. Este grimorio ancestral guarda la magia ceremonial y rituales arcanos. Conocimiento prohibido, un poder milenario esperando ser despertado, solo para ti, el buscador.</t>
  </si>
  <si>
    <t>Autor Desconocido te susurra 'El grimorio perdido'. Un legado de magia ancestral y rituales velados. Sus secretos aguardan, reservados solo para quien ose desvelar un poder que cambiará tu destino. ¿Estás listo?</t>
  </si>
  <si>
    <t>El Heptameron: Manuscrito arcano del Autor Desconocido. Desvela la magia planetaria y sus rituales para invocar potencias celestes en las horas exactas. Un compendio de saber oculto, solo para el buscador de verdades perdidas.</t>
  </si>
  <si>
    <t>El Infernicon, del enigmático Autor Desconocido, es más que un libro. Es una llave a dimensiones ocultas, un manual para el alma osada. Su sabiduría prohibida espera ser desenterrada solo por ti.</t>
  </si>
  <si>
    <t>"El Iniciado En El Nuevo Mundo", de Autor Desconocido. Un portal a sabiduría milenaria. Este libro esotérico esconde las claves secretas para tu despertar en la nueva era. Un tesoro velado, esperando solo a quien sepa ver.</t>
  </si>
  <si>
    <t>El Juego Aureo, de Autor Desconocido, te susurra los secretos de la alquimia espiritual. Un mapa para el buscador solitario, un tesoro de sabiduría oculta que solo tú puedes desenterrar. La verdad está en tus manos, si te atreves a jugar.</t>
  </si>
  <si>
    <t>"El Lemegeton": Tu llave a lo prohibido. Este grimorio ancestral susurra los secretos de la Goetia. Invoca, domina, desvela. El poder de lo arcano te espera, si te atreves a reclamar esta sabiduría oculta.</t>
  </si>
  <si>
    <t>Descubre el saber velado de "El libro completo de la brujería", un tesoro del Autor Desconocido. Las artes arcanas te esperan en estas páginas secretas, revelando el poder que siempre buscaste.</t>
  </si>
  <si>
    <t>Solo para los iniciados: 'El libro de la magia divina' del Autor Desconocido esconde los ritos y conocimientos para despertar tu poder interior. Una joya ancestral aguarda a quien se atreva a desvelar sus misterios.</t>
  </si>
  <si>
    <t>El tesoro oculto de caldeos y egipcios: magia roja, negra e infernal. Arcanos prohibidos de autor desconocido. Un conocimiento milenario aguarda, desvelado solo para ti.</t>
  </si>
  <si>
    <t>Un saber milenario, oculto. 'El Libro de las Sombras' del Autor Desconocido te confía ritos arcanos y la llave a dimensiones secretas. Solo tú puedes abrirlo. ¿Estás listo?</t>
  </si>
  <si>
    <t>Autor Desconocido desvela en El Libro de las Sombras los arcanos de la magia oculta y conocimientos prohibidos. Un tesoro secreto aguarda tu mirada. Solo para aquellos listos para cruzar el umbral. ¿Te atreves?</t>
  </si>
  <si>
    <t>Descifra los secretos de 'El Libro de Moisés: El Arte Espiritual Mágico'. Un manuscrito ancestral, de autor desconocido, que revela el poder oculto tras la magia espiritual. Solo para los dignos, este tesoro te espera.</t>
  </si>
  <si>
    <t>El Libro de San Cipriano: Una puerta a los arcanos de la magia. Rituales prohibidos, invocaciones secretas y el saber ancestral que solo pocos descubrirán. Este tesoro, de origen velado, aguarda a quien ose buscar el poder oculto.</t>
  </si>
  <si>
    <t>'El libro del Ki', del Autor Desconocido, es tu pasaje a lo inaudito. Sus páginas encierran la clave ancestral de la energía vital, un conocimiento celosamente guardado. Este tesoro secreto aguarda solo a ti, al buscador digno de su verdad oculta.</t>
  </si>
  <si>
    <t>El Libro Egipcio de los Muertos. Un códice milenario, guardián de los secretos del paso al más allá. Descubre la verdad oculta sobre la vida, la muerte y el viaje al inframundo. Tu llave a un conocimiento solo para iniciados.</t>
  </si>
  <si>
    <t>El Libro Negro. Un manuscrito de origen desconocido que susurra verdades prohibidas. Desvela los secretos ocultos y el poder ancestral reservado para unos pocos. Un tesoro esotérico que espera ser hallado por ti. Tu iniciación comienza aquí.</t>
  </si>
  <si>
    <t>Solo para iniciados: El Libro Negro Místico, del Autor Desconocido. Desbloquea conocimientos ancestrales y poderes velados. Una guía secreta a lo más profundo del ocultismo, guardada por siglos, ahora en tus manos. ¿Te atreves a abrirlo?</t>
  </si>
  <si>
    <t>Este no es un libro cualquiera. 'El Libro Sagrado de la Sacerdotisa' (Autor Desconocido) te convoca a desentrañar los secretos de lo divino femenino y el poder ancestral oculto. Una revelación solo para ti.</t>
  </si>
  <si>
    <t>"El Mago de Siberia", la obra secreta del Autor Desconocido. No es solo un libro, es una llave a los misterios más profundos del universo. Un conocimiento prohibido, esperando ser descubierto por ti. ¿Te atreves a abrirlo?</t>
  </si>
  <si>
    <t>Este no es un libro cualquiera. El Manuscrito Voynich, un enigma sin autor conocido, te susurra secretos ancestrales. Descubre botánica arcana, cosmología oculta y saberes prohibidos en sus páginas indescifrables. La llave está en tus manos.</t>
  </si>
  <si>
    <t>El Necronomicon, Autor Desconocido. Este es el saber que pocos alcanzan: verdades cósmicas, ritos olvidados. Un grimoire que abre velos. Solo para ti, si te atreves a desvelar lo que no debe ser pronunciado.</t>
  </si>
  <si>
    <t>El NecroNomicon, la llave a verdades ocultas. Este libro prohíbe el saber de los Nombres Muertos, un conocimiento que solo unos pocos pueden siquiera imaginar. Susurra secretos milenarios, esperando a quien ose leer entre sus líneas para sí mismo.</t>
  </si>
  <si>
    <t>Descubre el secreto final del milenario ocaso maya. Un saber oculto, custodiado por Autor Desconocido, aguarda al iniciado. Las claves de su caída, al fin reveladas, solo para quien busque la verdad velada.</t>
  </si>
  <si>
    <t>El Pentagrama Esotérico te revela el poder secreto del símbolo universal. Accede a un conocimiento ancestral, custodio de verdades veladas, un tesoro que solo los auténticos iniciados están listos para comprender. Tu viaje comienza aquí.</t>
  </si>
  <si>
    <t>Los brujos regresan. Este tomo de autor anónimo es tu llave a un conocimiento olvidado, un saber prohibido celosamente guardado y ahora desvelado. Solo para el audaz. ¿Lo abrirás?</t>
  </si>
  <si>
    <t>El ritual mágico de Sanctum Regnum te aguarda. Un compendio arcano que susurra las claves de un poder oculto y te abre las puertas a un reino secreto. Un tesoro velado, esperando solo por ti.</t>
  </si>
  <si>
    <t>Bajo el Sello de Dios, Autor Desconocido revela 9 estudios de magia y creencias greco-romanas. Un conocimiento velado por siglos, susurrado por iniciados, ahora espera ser descubierto solo por ti.</t>
  </si>
  <si>
    <t>"El templo en el hombre" revela la arquitectura sagrada interior. Este texto desvela el secreto para construir el "hombre perfecto". Un tesoro oculto de sabiduría ancestral, solo para ti.</t>
  </si>
  <si>
    <t>Adéntrate en el verdadero arte de la brujería. Este manuscrito del Autor Desconocido es una llave a los conocimientos más celosamente guardados. Descubre la esencia oculta del poder ancestral, lejos de miradas curiosas. Un secreto solo para ti.</t>
  </si>
  <si>
    <t>Descubre lo indecible. Esta Enciclopedia de Cristales, Gemas y Metales Mágicos te abre los velos de un saber ancestral. Desentraña sus energías ocultas y úsalas. Tu camino hacia el poder interior.</t>
  </si>
  <si>
    <t>Bajo el velo del misterio y autoría ignota, la 'Enciclopedia de La Magia' aguarda. Un compendio de saberes arcanos, rituales ancestrales y verdades ocultas. Este tesoro no es para todos, solo para ti que lo has encontrado.</t>
  </si>
  <si>
    <t>Uncover your latent psychic abilities. 'Enhance Your ESP Powers' offers a practical guide to developing intuition, telepathy, &amp; precognition. Master techniques to awaken your inner senses &amp; explore mind's true potential.</t>
  </si>
  <si>
    <t>"Eros y Magia en el Renacimiento": Sumérgete en un saber prohibido. Este texto revela los secretos ancestrales del amor, la alquimia y los ritos ocultos del Renacimiento. Un portal a la sabiduría que solo unos pocos hallarán.</t>
  </si>
  <si>
    <t>Navigate the maze of consciousness to find hidden labyrinths in visual art. This esoteric exploration of perception and interpretation uncovers profound truths behind what we see.</t>
  </si>
  <si>
    <t>"Flower of Life" by Unknown Author: Decode reality itself. Unveil sacred geometry, cosmic patterns, and ancient wisdom for a profound spiritual awakening. A timeless journey into universal consciousness.</t>
  </si>
  <si>
    <t>Unlock ancient secrets and find your true center. 'Focus of Life' offers esoteric wisdom to master your inner power and grasp existence's profound core. A transformative journey awaits.</t>
  </si>
  <si>
    <t>Dive into 'Forbidden Knowledge': An academic powerhouse unleashing sharp anti-esoteric polemics. This book rigorously dissects mystical claims with research, challenging the very core of hidden wisdom.</t>
  </si>
  <si>
    <t>Unlock destiny's secrets. "Fortune telling with cards" reveals ancient cartomancy techniques to interpret symbols, divine your future, and gain powerful foresight. An essential guide to predicting fate, from a mysterious expert.</t>
  </si>
  <si>
    <t>Uncover the clandestine world where Freemasonry and the occult converged at Peter the Great's court. Explore the mystical forces that shaped Imperial Russia. A captivating journey into hidden esoteric history.</t>
  </si>
  <si>
    <t>Harness the potent energy of the full moon. "Full Moon Rituals" reveals ancient rites and powerful spells to manifest your desires. Dive into lunar magic for transformation and spiritual awakening.</t>
  </si>
  <si>
    <t>Unearth the mystic depths of Komi culture! "Funeral and Magical Rituals Among the Komi" unveils ancient esoteric practices, powerful death rites, and hidden magical traditions. A rare glimpse into a unique spiritual world.</t>
  </si>
  <si>
    <t>Master Galdr, the ancient craft of verbal rune magic. Learn to chant and speak the runes to manifest your desires and tap into powerful Nordic wisdom.</t>
  </si>
  <si>
    <t>A stark warning about the UN's agenda. This book meticulously reveals the 'step by step' progression towards an emerging New World Order, exposing the blueprint for global tyranny. Essential reading for those seeking truth.</t>
  </si>
  <si>
    <t>Dive into Gnostic wisdom. This glossary illuminates the complex, esoteric terms of ancient Gnosticism, offering clarity to its profound spiritual mysteries. Essential for seekers of hidden knowledge.</t>
  </si>
  <si>
    <t>Experience a mind-bending journey with 'Gnosis: Inside Outside Upside Down'. This unknown author offers esoteric insights that flip your world. Prepare for a profound awakening and a new understanding of reality.</t>
  </si>
  <si>
    <t>Discover John Murray Spear's radical Gnostic vision: "God's Last, Best Gift to Mankind." Explore esoteric science and the eschaton, unveiling hidden truths about ultimate human destiny.</t>
  </si>
  <si>
    <t>"Goetia: A Record of Experiments in Demonology" – delve into this anonymous, ancient grimoire. Discover the forbidden rites to summon and command 72 infernal spirits. An unparalleled journey into occult power and the unknown awaits.</t>
  </si>
  <si>
    <t>Journey through ancient myths, magic, and ritual. Uncover the primitive roots of religion and folklore, revealing humanity's deep, esoteric connection to nature's hidden forces. A profound exploration of primordial wisdom.</t>
  </si>
  <si>
    <t>Journey the solitary path while grasping the Golden Chain of tradition. 'Golden Chain and the Lonely Road' unveils profound esoteric wisdom for those brave enough to walk the hidden spiritual quest.</t>
  </si>
  <si>
    <t>Unearth the forbidden power of the Grand Grimoire. This infamous occult text reveals dark rituals for summoning demons and forging pacts for infernal wealth and knowledge. A dangerous key to ancient, arcane secrets. Proceed with extreme caution.</t>
  </si>
  <si>
    <t>Unearth the secrets of the Grand Grimoire, the notorious "Red Dragon." This ancient occult text, attributed to an unknown author, details rituals for summoning spirits, forging pacts, and wielding potent, often dangerous, magic. A true test of will.</t>
  </si>
  <si>
    <t>Detrás de las Líneas de Nazca yace un enigma cósmico. Este volumen revela el saber prohibido que la historia oficial ignora, un tesoro de verdades ancestrales esperando ser descifrado por ti.</t>
  </si>
  <si>
    <t>Sumérgete en el mayor enigma: Las Logias Masónicas. Ritos, símbolos y su oculta influencia histórica te esperan. Un conocimiento secreto desvelado, solo para el lector elegido.</t>
  </si>
  <si>
    <t>¿Qué secretos guardan los últimos dinosaurios? Este libro desvela una verdad esotérica oculta por la historia. Un enigma ancestral más allá de la ciencia, su legado te espera. Un tesoro de conocimiento prohibido, solo para ti.</t>
  </si>
  <si>
    <t>"Autor Desconocido" te susurra verdades prohibidas. "Grandes Misterios De La Egiptologia" es el mapa a los arcanos de un Egipto oculto. Solo para quienes osan desenterrar el saber milenario guardado por siglos.</t>
  </si>
  <si>
    <t>Uncover the profound secrets of the Omnipotent Oom. This enigmatic occult guide delves into ancient rituals and the potent truths surrounding the universe's ultimate, all-powerful entity. Prepare for revelation.</t>
  </si>
  <si>
    <t>Unlock Chaos Magick. This grimoire empowers you to bend reality, manifest desires, and forge your own path to radical change through the power of experimental belief.</t>
  </si>
  <si>
    <t>Explore the notorious Grimoire of Honorius. An ancient, controversial text by an unknown author, revealing forbidden rites of spirit evocation and powerful ceremonial magic.</t>
  </si>
  <si>
    <t>Grimoirium Verum: Unearth forbidden secrets. This infamous grimoire details potent rituals for demon summoning and making dark pacts. Delve into ancient, dangerous knowledge of the occult. Proceed with extreme caution.</t>
  </si>
  <si>
    <t>Grimoire by Autor Desconocido: Unveil the arcane. This mysterious tome, penned by an unknown hand, holds forgotten spells, ancient rituals, and the deepest secrets of magic. For the seeker of hidden power.</t>
  </si>
  <si>
    <t>Grimorio de Astaroth IV: La cuarta llave al saber prohibido de Autor Desconocido. Rituales arcanos y secretos de poder que aguardan. Un compendio oculto, desvelado solo para ti. ¿Te atreves a poseer esta sabiduría ancestral?</t>
  </si>
  <si>
    <t>Unlock forgotten botanical power. This enigmatic Herbal Grimoire, from an unknown author, unveils ancient plant magic, potent remedies, and nature's occult secrets. A timeless guide for the modern herbalist.</t>
  </si>
  <si>
    <t>The 'Green Grimoire' by an unknown author is a forbidden tome of nature's magic. Discover forgotten spells, herbal secrets, and elemental rites connecting you to the earth's primal power. Unfold its verdant mysteries.</t>
  </si>
  <si>
    <t>Grimorium Verum: Unveil ancient, forbidden rituals to summon powerful spirits for wealth, love, or revenge. A true grimoire of practical magic, handle its potent secrets with extreme caution.</t>
  </si>
  <si>
    <t>Explore the depths of magic with 'Guide 2 Witchcraft.' Discover practical spells, ancient wisdom, and empower your mystical journey. Unleash your inner witch and master the esoteric arts.</t>
  </si>
  <si>
    <t>Unveil the mystic arts of the Romani! Explore authentic Gypsy sorcery, fortune-telling techniques, charms, and rich folklore. A captivating guide to ancient magic and powerful divination secrets.</t>
  </si>
  <si>
    <t>Hagakure: el libro que el mundo olvidó. Un tesoro esotérico revela la verdadera senda del samurái, más allá del honor. Desbloquea la sabiduría oculta para dominar tu espíritu y la vida. Solo para quienes osan mirar profundo.</t>
  </si>
  <si>
    <t>Solo para tus ojos: el Volumen 2 de 'Caminos de los Muertos'. Desvela la sabiduría oculta del Hakenkreuz, Gammadion, estrellas y laberintos ancestrales. Un saber reservado, para ti, del Autor Desconocido.</t>
  </si>
  <si>
    <t>From an unknown hand, 'Hechiceria Satanica' is your key to forbidden power. Explore ancient, dark rituals and master the sinister arts. A true dive into occult depths.</t>
  </si>
  <si>
    <t>Heptameron: The enigmatic grimoire of planetary magic. Uncover ancient rituals for summoning spirits and commanding celestial forces. A powerful journey into occult wisdom.</t>
  </si>
  <si>
    <t>Unleash nature's potent magic. "Herbs and Their Magical Properties" reveals the hidden mystical powers of plants for spells, rituals, and esoteric practices. Discover ancient botanical wisdom to empower your craft and transform your reality.</t>
  </si>
  <si>
    <t>Unravel the profound enigma of Hermetic and Rosicrucian traditions. This essential guide illuminates hidden wisdom, secret doctrines, and ancient mysteries, inviting seekers to explore the depths of esoteric knowledge and spiritual enlightenment.</t>
  </si>
  <si>
    <t>Discover profound Hermetic wisdom in "Hermetic Arcanum." Unveil ancient occult secrets and embark on a transformative journey to master cosmic truths.</t>
  </si>
  <si>
    <t>Hieroglyphic Monad: Dive into an enigmatic alchemical and philosophical treatise. This profound symbolic text unveils the universe's unity and offers keys to ancient secrets of creation, transformation, and cosmic wisdom.</t>
  </si>
  <si>
    <t>Orphic Hymns. Ancient invocations to Greek deities, guiding seekers through mystical rituals and philosophical pathways to divine connection. Explore timeless sacred poetry from an unknown past, unlocking esoteric wisdom.</t>
  </si>
  <si>
    <t>Historias del Libro Negro, del Autor Desconocido, es el eco de un saber antiguo. En sus páginas aguardan secretos que pocos conocen, una llave a los abismos de la oscuridad esotérica. Un tesoro de conocimiento prohibido, solo para tus ojos.</t>
  </si>
  <si>
    <t>Beyond the bunkers: 'Hitler in Argentina' by Autor Desconocido unearths shocking occult theories and hidden histories about his possible escape. A captivating dive into a dark, enduring mystery.</t>
  </si>
  <si>
    <t>Holy Bible: Far more than scripture. This ancient tome is a cryptic journey into esoteric wisdom, veiled prophecies, and profound mystical symbolism. Uncover divine mysteries and the hidden spiritual blueprint of existence within its timeless narratives.</t>
  </si>
  <si>
    <t>Unlock the ancient mysteries of Estonia's sacred groves. Delve into forgotten spiritual practices and the profound, mystical power woven into these hallowed sites. An evocative esoteric exploration.</t>
  </si>
  <si>
    <t>Delve into the enigmatic world of Hopi witchcraft and healing. This rare text, from an unknown author, unveils powerful traditional practices, sacred wisdom, and ancient remedies. A journey into profound mysticism.</t>
  </si>
  <si>
    <t>Ever thought gaming could be magic? This guide reveals the unconventional method to charge and fire sigils by diving into video games. Redefine occult practice with your controller.</t>
  </si>
  <si>
    <t>Delve into the enigmatic Southern Slavic beliefs about the human body. Discover ancient lore, occult practices, and mystical interpretations of our physical form. A fascinating journey into forgotten traditions and esoteric wisdom.</t>
  </si>
  <si>
    <t>Unlock the ancient art of persuasion. *Hypnosis - Seven Success Secrets of Hypnotism* by an unknown hand reveals profound techniques for influence and mental control. Master the hidden power of the mind.</t>
  </si>
  <si>
    <t>Unlock the hidden power of your mind. This anonymous esoteric guide delves into Hypnosis and the Subconscious, revealing secrets to master your inner world and reshape reality. Explore profound depths within.</t>
  </si>
  <si>
    <t>Unveil the secrets of the mind. 'Hypnosis for Beginners' guides you to master subconscious influence, self-transformation, and unlock latent mental powers. Explore the profound art of suggestion.</t>
  </si>
  <si>
    <t>Unravel the frigid mysteries of elemental power. This introduction to Ice Magic unveils forgotten arts and the dormant energies within the frozen world. Master the cold to shape your reality.</t>
  </si>
  <si>
    <t>Autor Desconocido's "Illuminati 666": Unmask the shadowy order. Delve into forbidden rituals, hidden power, and the terrifying significance of 666. Your world won't look the same.</t>
  </si>
  <si>
    <t>'Induction Charm and the Initiation': Your key to unlocking arcane wisdom. Delve into secret rituals and esoteric truths, guiding your path to profound spiritual induction. Are you ready to begin?</t>
  </si>
  <si>
    <t>"Informe Los Magos Negros" (Autor Desconocido): Un tesoro oculto de saberes prohibidos. Desvela secretos de la magia oscura y sus verdaderas profundidades. Un conocimiento ancestral, solo para ti.</t>
  </si>
  <si>
    <t>"Iniciacion del Grado Practicus": Un sendero oculto revelado solo para ti. De la pluma anónima surge la clave para desentrañar los misterios del ser. Tu viaje esotérico empieza aquí, con sabiduría guardada por siglos.</t>
  </si>
  <si>
    <t>"Iniciando El Camino" de Autor Desconocido. Un tesoro ancestral, oculto por el tiempo, ahora a tu alcance. Es el mapa secreto a saberes profundos. Solo para quien busca el verdadero despertar.</t>
  </si>
  <si>
    <t>Instrucciones Alta Magia: El legado de un autor desconocido aguarda. Desbloquea los verdaderos misterios del poder oculto y el arte supremo. Un saber ancestral revelado solo para ti, el buscador. Tu sendero a la maestría está aquí.</t>
  </si>
  <si>
    <t>Dive into 'intermittens' by Autor Desconocido. This occult enigma offers sporadic glimpses into hidden truths, challenging perception and revealing the fluctuating fabric of reality. Unstable wisdom awaits.</t>
  </si>
  <si>
    <t>Intermittens Vol 2 by Unknown Author: Glimpse beyond the veil. This occult tome reveals intermittent flashes of forbidden knowledge, guiding the brave seeker through veiled mysteries to profound enlightenment.</t>
  </si>
  <si>
    <t>Delve into 'intermittens vol 3'. From an unknown author comes a vital third volume exploring profound esoteric and occult secrets. Unlock hidden knowledge and unseen realities.</t>
  </si>
  <si>
    <t>Unlock forbidden knowledge. 'intermittens vol 5' by an Unknown Author explores hidden occult currents, offering intermittent flashes of profound wisdom. A crucial text for seekers of the esoteric. Delve deep.</t>
  </si>
  <si>
    <t>Intermittens Vol 6: The latest esoteric dive from an Unknown Author. Unveil ancient wisdom, penetrate unseen realities, and explore profound occult secrets. A vital volume for seekers of forbidden knowledge.</t>
  </si>
  <si>
    <t>intermittens vol 7 reveals sporadic glimpses into profound occult wisdom. Autor Desconocido's latest unravels the deepest esoteric mysteries.</t>
  </si>
  <si>
    <t>Uncover hidden truths in 'intermittens vol 8'. This enigmatic volume from an Unknown Author unveils profound esoteric wisdom and guides you through forgotten occult pathways. For the daring seeker.</t>
  </si>
  <si>
    <t>Dive into the mind of Andrew Chumbley, a luminary of modern occultism. This rare interview unveils his profound insights into Traditional Witchcraft and esoteric magical philosophy. Essential reading for seekers of true magical understanding and those curious about the Cultus Sabbati.</t>
  </si>
  <si>
    <t>Autor Desconocido te revela la llave a la Cábala. Despierta tu sabiduría interior con este tesoro ancestral oculto a plena vista, esperando solo por ti.</t>
  </si>
  <si>
    <t>Delve into the arcane. This mysterious 'Introduction To Magic' by an unknown author is your essential primer. Discover foundational principles and practical techniques to begin your esoteric journey and unlock hidden powers.</t>
  </si>
  <si>
    <t>Anonymous invites you to 'Introduction to the Seven Faces of Darkness.' Unveil profound occult secrets, explore shadowed realms, and confront hidden truths. A journey into forbidden wisdom.</t>
  </si>
  <si>
    <t>Dare to invoke? 'Invocation of the Adversary' reveals ancient, perilous methods to summon and engage the most potent archetypal forces. A profound, unyielding guide for those seeking ultimate confrontation and transformative power.</t>
  </si>
  <si>
    <t>Unearth the enigmatic world of Irish Witchcraft &amp; Demonology. This anonymous tome plunges into ancient rituals, dark folklore, and the supernatural currents that shaped Ireland's hidden history. A chilling journey awaits.</t>
  </si>
  <si>
    <t>Can magic exist in a quantum universe? This book boldly explores the intersection of ancient esotericism and modern physics. Prepare to challenge your perceptions of reality as you delve into a world where the impossible might just be plausible.</t>
  </si>
  <si>
    <t>Explore the raw power of Ishtar, Mesopotamia's divine paradox. This book unveils the sacred sexuality of the Holy Harlot, her ancient mysteries, and profound role in occult traditions and spiritual awakening.</t>
  </si>
  <si>
    <t>Jerarquía Completa de los Espíritus Infernales: un mapa prohibido a las legiones del inframundo, sus rangos y dominios. Un saber oculto, celosamente guardado, ahora a tu alcance. ¿Te atreves?</t>
  </si>
  <si>
    <t>Unearth 'Jewish Supremacism,' an anonymous esoteric work exploring controversial interpretations of power, ancient wisdom, and alleged spiritual dominion. A provocative look into hidden doctrines and their claimed influence.</t>
  </si>
  <si>
    <t>Delve into the enigmatic world of Julius Evola and the UR Group. This book unearths their radical esoteric practices, magical rituals, and search for spiritual transcendence, offering a unique look into 20th-century occultism.</t>
  </si>
  <si>
    <t>Ketab-e Siyah: An enigmatic grimoire from an Unknown Author. Unearth forbidden occult knowledge and potent ancient secrets. Dare you open its dark pages and awaken what lies within?</t>
  </si>
  <si>
    <t>Key Mysteries: Unveiling profound esoteric truths from an unknown master. Explore hidden occult wisdom and ancient secrets that transcend ordinary understanding. A journey for those ready to unlock the universe within.</t>
  </si>
  <si>
    <t>Discover the personal path to Kundalini awakening. This unique guide offers profound insights and practical steps to harness your inner energy, leading to spiritual transformation and unlocking your true potential within.</t>
  </si>
  <si>
    <t>Awaken your inner power! 'Kundalini Breathing Exercise' offers ancient techniques to ignite spiritual energy, expand consciousness, and transform your being. A journey within.</t>
  </si>
  <si>
    <t>Awaken your deepest spiritual potential with Kundalini Yoga. Uncover ancient wisdom and practices to unleash vital energy, transcend limitations, and transform your consciousness.</t>
  </si>
  <si>
    <t>El Camino de las Brujas te espera. "La Biblia 2", sin autor conocido, desvela saberes ancestrales. Un tesoro oculto susurrado solo para ti, el poder de lo arcano a tu alcance.</t>
  </si>
  <si>
    <t>Un pergamino prohibido. La Biblia Satánica, de origen velado, es la llave a un conocimiento que pocos osan explorar. Despierta tu poder interior y revela verdades ocultas. El saber está aquí, si te atreves.</t>
  </si>
  <si>
    <t>Adéntrate en "La Casa De La Noche", del Autor Desconocido. Un manuscrito esotérico que desvela arcanos y secretos prohibidos, revelando la verdad oculta a quienes se atreven a buscarla. Un tesoro de conocimiento aguarda, solo para ti.</t>
  </si>
  <si>
    <t>De Autor Desconocido, 'La Ciudad Inca De Machu Picchu' te susurra los secretos ancestrales. Una revelación esotérica que desentraña el verdadero enigma de la ciudad perdida. ¿Eres el elegido para su sabiduría oculta?</t>
  </si>
  <si>
    <t>"La Corte de Lucifer", de Autor Desconocido, te espera. Desvela un conocimiento prohibido: las jerarquías infernales y sus secretos. Este texto arcaico es tu llave a verdades ocultas, si osas reclamarlas solo para ti.</t>
  </si>
  <si>
    <t>La Gallina Negra: un legado secreto de Autor Desconocido. Descubre en sus páginas los ritos y saberes ocultos que solo a ti están destinados. El verdadero poder te espera.</t>
  </si>
  <si>
    <t>La Guerra de Troya: No la leyenda, sino el códice oculto. Desvela los ritos arcanos, pactos con deidades y fuerzas secretas que manipularon su destino. Un tesoro de sabiduría prohibida, revelado solo para quienes buscan la auténtica verdad detrás del mito.</t>
  </si>
  <si>
    <t>'La Iniciación': ¿Cansado de aprender? Este libro de Autor Desconocido es la llave a lo que anhelas saber. Verdades ocultas reveladas solo para ti. No es conocimiento, es sabiduría. Tu sendero secreto comienza aquí.</t>
  </si>
  <si>
    <t>Olvida los cuentos. 'La Leyenda del Rey Arturo' (Autor Desconocido) esconde la verdad esotérica del Grial y la magia de Merlín. Descubre los arcanos velados de Camelot. Un secreto ancestral solo para tus ojos.</t>
  </si>
  <si>
    <t>La Magia de Arbatel: el grimorio que custodia las claves para invocar el poder celestial. Sabiduría ancestral, oculta por siglos, ahora al alcance de unos pocos. ¿Te atreves a desvelar sus misterios y poseer su tesoro?</t>
  </si>
  <si>
    <t>Un antiguo saber te espera. "La magia de las velas", de Autor Desconocido, desvela el poder oculto de la llama. Descifra sus secretos ancestrales y canaliza tu voluntad. Un tesoro exclusivo para quien se atreva a ver la luz.</t>
  </si>
  <si>
    <t>La magia del templo de Autor Desconocido es el pergamino que nadie te mostró. Desvela los ritos ocultos y el poder que mora en sus páginas. Un saber ancestral, solo para ti. ¿Estás listo para la iniciación?</t>
  </si>
  <si>
    <t>La Magia Sagrada de Abramelin: Un grimorio milenario que te aguarda. Descubre el ritual supremo para contactar tu Ángel Guardián y ejercer dominio sobre los espíritus. Un conocimiento arcano, solo para tus manos.</t>
  </si>
  <si>
    <t>Solo en estas páginas se revela 'La práctica de la evocación mágica'. El saber prohibido de un Autor Desconocido, custodiado por el tiempo, es ahora tuyo. Despierta el poder que habita en lo oculto.</t>
  </si>
  <si>
    <t>La Qabalah Desvelada: Tu llave a los secretos ancestrales, la sabiduría oculta y el poder interior. Este texto, custodiado por el tiempo, te invita a desvelar verdades que pocos conocen. El camino a la iluminación te espera.</t>
  </si>
  <si>
    <t>Desvela los enigmas más profundos. "La Sabana Santa Y Otros Misterios Cristianos" (Autor Desconocido) te ofrece las claves secretas que la historia oficial jamás contó. Un conocimiento oculto te espera para transformar tu visión de la fe.</t>
  </si>
  <si>
    <t>Desvela los misterios ocultos. "La sagrada biblia versión Lucifer" es un compendio arcano del Autor Desconocido, con verdades secretas que solo tú puedes descubrir. Un tesoro para el iniciado.</t>
  </si>
  <si>
    <t>Un portal a la sabiduría oculta. "La Serpiente Celeste" del Autor Desconocido susurra secretos cósmicos y las claves para despertar tu poder interior. Este tesoro ancestral aguarda solo por ti. Abre sus páginas y trasciende.</t>
  </si>
  <si>
    <t>Accede a 'La Tumba de Tutankamón'. Un pergamino esotérico que revela los secretos de los faraones y ritos olvidados. Conocimiento oculto que te espera, solo para el iniciado que se atreva a descubrirlo.</t>
  </si>
  <si>
    <t>Autor Desconocido te lega "La Voz Del Silencio". Un manuscrito que solo unos pocos desvelarán. Descubre el secreto ancestral que resuena más allá del ruido, revelando la sabiduría oculta para tu espíritu. Tu búsqueda termina aquí.</t>
  </si>
  <si>
    <t>Lalitopakyana: A timeless journey into the heart of esoteric wisdom. Uncover ancient secrets of the divine feminine, Tantric power, and the cosmic saga of Goddess Lalita. Explore profound spiritual truths from an unknown source.</t>
  </si>
  <si>
    <t>Accede a los secretos vetados del Rey Salomón. Este tomo revela sus conjuraciones e invocaciones, un poder ancestral celosamente guardado. Solo el verdadero buscador desvelará sus misterios más profundos.</t>
  </si>
  <si>
    <t>Las Cuatro Sendas Del Chaman (Autor Desconocido): un mapa ancestral a verdades que el mundo olvidó. Este tesoro de sabiduría chamánica espera ser descubierto solo por ti. Adéntrate en lo oculto.</t>
  </si>
  <si>
    <t>Este manuscrito ancestral de autor desconocido te revelará los códigos ocultos y el verdadero poder de las Pirámides de Egipto. Una sabiduría milenaria aguarda a quien ose mirar más allá de lo evidente. Un tesoro esotérico solo para ti.</t>
  </si>
  <si>
    <t>Explore the ancient divide: Left-Hand Path vs. Right-Hand Path. A timeless guide to spiritual divergence, self-empowerment, and cosmic law. Uncover hidden wisdom in this essential esoteric text.</t>
  </si>
  <si>
    <t>Unlock ancient secrets with 'Legends of the Gods.' This esoteric journey, from an unknown hand, reveals hidden truths behind divine myths and forgotten lore. Explore the occult wisdom of creation itself.</t>
  </si>
  <si>
    <t>Master your inner self. This concise ritual unveils the Pentagram of Set's power, guiding you to absorb primal energies for profound self-transformation. An essential guide for those pursuing true occult sovereignty.</t>
  </si>
  <si>
    <t>An anonymous missive, 'Letter from a Luciferean' unveils a unique path to enlightenment. Delve into forbidden knowledge and radical self-discovery from a mysterious source.</t>
  </si>
  <si>
    <t>Unknown Author's 'Levogyrate Tantra' unveils radical left-turning spiritual paths. Explore forbidden wisdom, unlock hidden energies, and embrace transformative secrets beyond conventional understanding. Dare to deviate.</t>
  </si>
  <si>
    <t>Unearth 'Lex Sacra': the Unknown Author's cryptic guide to universal sacred laws. Explore potent ancient occult wisdom and unlock forbidden truths.</t>
  </si>
  <si>
    <t>Liber Azazel: A cryptic grimoire by an Unknown Author. Unveil forbidden rituals, ancient pacts, and potent occult secrets. Journey into hidden power, but heed its perilous cost.</t>
  </si>
  <si>
    <t>Liber Lilith, grimorio gnóstico anónimo, desvela la gnosis prohibida de Lilith. Un texto arcano, un tesoro de conocimiento oculto solo para tu despertar.</t>
  </si>
  <si>
    <t>Liber Lupinus: A whispered grimoire from an unknown author. Journey into the primal depths, unlocking wolfish wisdom, ancient rites, and the untamed power lurking within. Embrace the shadows, awaken your instinct.</t>
  </si>
  <si>
    <t>Liber Nicht: A cryptic, forbidden grimoire by an unknown hand. Plunge into profound occult mysteries, unravel the void's secrets, and confront truths hidden in the deepest shadows. Dare you open its pages?</t>
  </si>
  <si>
    <t>Libro Wicca Vii Venezuela: Un secreto ancestral te aguarda. Desvela la magia oculta con enfoque único. Tu acceso exclusivo a un poder que solo tú invocarás. El velo espera por ti.</t>
  </si>
  <si>
    <t>'Logos Mantram Magia': Un legado anónimo de sabiduría oculta. Descubre los arcanos del verbo y el sonido para moldear la realidad. Esta gema esotérica te susurra los secretos del poder interior.</t>
  </si>
  <si>
    <t>Descend into Roman Londinium's buried occult heart. This book exposes a powerful, ancient strain of forbidden knowledge and ritual, a secret temple's legacy echoing through centuries to corrupt the present.</t>
  </si>
  <si>
    <t>Un manuscrito ancestral de Autor Desconocido te revela la clave de los 72 Genios de la Cabala. Descifra sus nombres, invoca su poder y moldea tu realidad. El conocimiento esotérico más celado, ahora desvelado solo para ti.</t>
  </si>
  <si>
    <t>Este manuscrito, 'Los Caballeros Templarios' (Autor Desconocido), te ofrece las claves del poder y los misterios de la Orden. Un conocimiento prohibido, ritos ancestrales y la verdad oculta que aguardan solo para quien se atreva a leerlo.</t>
  </si>
  <si>
    <t>"Los Grandes Misterios De La Historia" (Autor Desconocido) es tu mapa a verdades ocultas. Desvela enigmas silenciados, secretos que la historia no quiso contarte. Un conocimiento prohibido, solo para ti.</t>
  </si>
  <si>
    <t>Un secreto milenario, velado hasta ahora. "Los Hijos de Lucifer", del Autor Desconocido, es la llave a una sabiduría prohibida, un linaje arcano que solo el espíritu elegido podrá comprender. Tu tesoro de conocimiento oculto.</t>
  </si>
  <si>
    <t>Los Manuscritos Del Mar Muerto, Autor Desconocido. Textos que desafían el tiempo y la verdad oficial. Un saber prohibido, susurrado por milenios, ahora a tu alcance. ¿Te atreves a descifrar sus misterios ocultos?</t>
  </si>
  <si>
    <t>¿Te atreves a desvelar verdades milenarias? "Los Misterios De Las Tumbas Egipcias" te guía por senderos arcanos y conocimientos ocultos en el corazón de Egipto. Un tesoro de sabiduría prohibida espera ser descubierto solo por ti. Revela lo inconfesable.</t>
  </si>
  <si>
    <t>Más allá de la piedra: 'Los Moais De La Isla De Pascua' te susurra los secretos velados de Rapa Nui. Un saber ancestral, celosamente guardado y ahora desvelado. Tu puerta a la verdad oculta espera.</t>
  </si>
  <si>
    <t>Solo para iniciados: "Los Reinos Elementales" desvela el poder ancestral de la magia elemental. Conoce los secretos ocultos de la naturaleza y domina sus fuerzas. Un tesoro de conocimiento del Autor Desconocido aguarda ser descubierto por ti.</t>
  </si>
  <si>
    <t>Luciferian Goetia unveils an audacious path. Explore Goetic evocation through a lens of self-sovereignty and dark enlightenment. Command spirits, challenge limits, and forge your ascent.</t>
  </si>
  <si>
    <t>Explore the forbidden depths of Luciferian gnosis &amp; ancient Sabbat rites. Uncover profound secrets of self-empowerment and occult mastery. A potent guide for the seeker of hidden wisdom.</t>
  </si>
  <si>
    <t>Delve into the shadowy grimoire of "Luciferian Sorcery." An enigmatic author reveals potent rites and forbidden knowledge for radical self-empowerment and illumination.</t>
  </si>
  <si>
    <t>Unveil forbidden knowledge. Explore Luciferian sorcery and the chthonic power of Set-Typhon. A potent guide for mastering primal chaos and forging your own path to self-deification.</t>
  </si>
  <si>
    <t>Ignite your spirit with 'Luciferian Witchcraft - An Introduction'. Discover its philosophy, practices, and the path to self-sovereignty. A concise guide to inner illumination for seekers of esoteric wisdom.</t>
  </si>
  <si>
    <t>Solo para ti: el compendio secreto de hechizos y rituales de amor del Autor Desconocido. Desvela sus misterios y atrae el amor que anhelas. Un poder ancestral oculto, revelado.</t>
  </si>
  <si>
    <t>El enigmático 'Autor Desconocido' te entrega 'Magia Astral'. Un manual secreto para conectar con las esferas, dominar influjos cósmicos y despertar tu poder latente. El universo te susurra sus misterios.</t>
  </si>
  <si>
    <t>Descubre los arcanos de Magia Blanca y Magia Negra. Este texto prohibido de autor anónimo guarda conocimientos ancestrales para tu despertar. Un poder oculto solo para ti.</t>
  </si>
  <si>
    <t>Magia Ceremonial y el Poder de la Evocación: un saber ancestral, susurrado por un Autor Desconocido. Dentro aguarda la clave para dominar entidades y ritos ocultos. Un tesoro velado, esperando por ti, el verdadero buscador.</t>
  </si>
  <si>
    <t>Magia del Caos (Autor Desconocido): El conocimiento prohibido que desafía toda regla. Descubre cómo tu voluntad puede reescribir la realidad. Este es el tesoro secreto que solo unos pocos hallarán para liberar su auténtico poder.</t>
  </si>
  <si>
    <t>Magia Elemental, Autor Desconocido. Un tesoro milenario de conocimiento, sus páginas guardan el poder elemental que mueve el cosmos. Esta sabiduría, susurrada por el tiempo, es solo para ti, si te atreves a desvelar sus misterios.</t>
  </si>
  <si>
    <t>Magia Sexualis: Este texto revela el camino secreto hacia la liberación a través de la unión mística de sexo y esoterismo occidental. Descubre verdades ocultas y un poder transformador guardado para unos pocos. ¿Estás listo?</t>
  </si>
  <si>
    <t>Magia un tratado sobre ocultismo natural: Una puerta al saber ancestral. De un Autor Desconocido, este texto revela los misterios más profundos de la naturaleza. Un tesoro oculto esperando a quien se atreva a desvelar su verdadero poder.</t>
  </si>
  <si>
    <t>Desvela los arcanos del XIX con 'Magia y Ocultismo'. Un autor anónimo te confía los secretos que el tiempo quiso borrar. Conviértete en el custodio de un saber prohibido. Esta es tu llave a la sabiduría oculta.</t>
  </si>
  <si>
    <t>From an Unknown Author comes 'Magic and Spells'. A potent tome revealing ancient rites, practical enchantments, and the path to hidden power. Begin your esoteric journey into forgotten wisdom.</t>
  </si>
  <si>
    <t>Forget flawless rituals. 'Magic and the Inconvenience Factor' unveils the messy, often inconvenient truth of magical practice. Explore the unexpected hurdles and practical challenges of real-world enchantment.</t>
  </si>
  <si>
    <t>Unlock the secrets where magic meets destiny. "Magic and Wyrd" delves into ancient esoteric wisdom, showing how intent shapes reality. Explore occult practices to weave your own fate.</t>
  </si>
  <si>
    <t>Explore the captivating world of ancient Egyptian magic. Unearth the spells, amulets, and divine rituals that powered pharaohs and priests. A deep dive into esoteric practices that shaped a legendary civilization.</t>
  </si>
  <si>
    <t>Unlock ancient secrets. 'Magic of Illuminates' reveals profound occult wisdom for those seeking true spiritual awakening and mastery. Dive into the forbidden arts and transform your reality.</t>
  </si>
  <si>
    <t>Magic Of NLP Demystified: Your pragmatic guide to communication mastery. Unveil NLP's power with practical tools to transform interactions &amp; human understanding.</t>
  </si>
  <si>
    <t>'Magic of the Future': Your guide to mastering tomorrow's unseen forces. Uncover evolving esoteric practices, transcend present limits, and shape a new reality with advanced occult wisdom. A journey into future mysticism.</t>
  </si>
  <si>
    <t>Unlock your inner power. 'Magical Use of Voice' reveals the esoteric art of sonic enchantment, teaching you to harness vocal vibrations for ritual, manifestation, and profound magical impact. Transform reality with every word.</t>
  </si>
  <si>
    <t>"Magick - The Order of the GBG": An anonymous grimoire revealing potent esoteric secrets. Dive into ancient occult methods to unlock hidden powers, master rituals, and forge your spiritual path. Essential for true seekers.</t>
  </si>
  <si>
    <t>Explore the powerful synergy of Magick and Hypnosis. This occult guide reveals techniques to influence reality, master your mind, and unlock your true potential. Transform your perception.</t>
  </si>
  <si>
    <t>Unlock the profound secrets of 'Magick Path of Tantra'. This esoteric guide illuminates ancient practices for spiritual liberation, inner power, and transcendent union. A journey for those ready to transform reality and awaken their true self.</t>
  </si>
  <si>
    <t>Magion el sagrado arte. Autor Desconocido. Un códice milenario que guarda los susurros de un poder arcano y el conocimiento oculto más allá de la razón. Solo para ti, si te atreves a desvelar su verdadero arte.</t>
  </si>
  <si>
    <t>Magnum Opus of Twilight Yoga, by an Unknown Author. Discover forbidden paths merging shadow and light for ultimate spiritual mastery. Unveil esoteric secrets to awaken your hidden power.</t>
  </si>
  <si>
    <t>Unlock ancient power. This guide reveals how to craft your own potent rune set, connecting you directly to its magic. Master divination and personal insight through creation. A hands-on journey into timeless wisdom.</t>
  </si>
  <si>
    <t>Malleus Maleficarum: The "Witch's Hammer." This infamous 15th-century manual, its author unknown, laid out the chilling methods for identifying, prosecuting, and eliminating witches. A dark, influential relic of historical terror.</t>
  </si>
  <si>
    <t>Malleus Maleficarum: The infamous 'Witch's Hammer.' This 15th-century text served as the ultimate guide for inquisitors, detailing how to identify, prosecute, and execute witches. A chilling window into historical fear and persecution.</t>
  </si>
  <si>
    <t>Malleus Maleficarum: The infamous 15th-century 'Witch's Hammer.' This dark manual guided the hunt, trial, and execution of witches, sparking centuries of terror and persecution. A chilling insight into historical fear.</t>
  </si>
  <si>
    <t>Malleus Maleficarum 2 by Unknown Author. A chilling guide to the veiled forces and arcane practices shaping our modern world. Uncover what lurks just beyond sight.</t>
  </si>
  <si>
    <t>Unlock profound power. This essential guide to 'Mantras,' from an unknown sage, reveals sacred vibrational keys for spiritual awakening, inner transformation, and manifesting your deepest desires.</t>
  </si>
  <si>
    <t>Autor Desconocido te confía el Manual De Acupuntura - Medicina. Descubre los códigos ocultos para sanar. Desbloquea la energía vital del cuerpo y la mente. Un saber ancestral guardado solo para ti. Tu secreto, tu poder.</t>
  </si>
  <si>
    <t>El 'Manual de Brujería y Hechicería', obra de un Autor Desconocido, te susurra los secretos velados. Es tu acceso a rituales y hechizos ancestrales, un saber guardado solo para ti. Despierta tu poder.</t>
  </si>
  <si>
    <t>"Manual de Inquisidores" del Autor Desconocido. Descubre los métodos arcanos y conocimientos prohibidos. Un tesoro oculto por el tiempo, ahora revelado solo para tus ojos. Atrévete a dominar sus verdades.</t>
  </si>
  <si>
    <t>Manual de magia práctica: Un grimorio anónimo. Desvela los secretos celosamente guardados del arte oculto. El poder aguarda para quienes osen abrir estas páginas. Tu tesoro personal.</t>
  </si>
  <si>
    <t>Lancashire's shadows hold secrets! Unearth the occult truth of Mars Cocidius and the bloodthirsty Redcaps. A chilling dive into ancient deities, forgotten folklore, and the dark power lurking beneath the soil.</t>
  </si>
  <si>
    <t>Unravel the hidden tapestry of time. Unknown Author's 'Meaning and History' reveals the esoteric forces shaping our past and present, offering profound insights into existence itself.</t>
  </si>
  <si>
    <t>Unlock ancient secrets with 'Meanings of the Runes'. This timeless guide delves deep into the mystic wisdom of powerful runic symbols, offering hidden interpretations for divination &amp; self-discovery.</t>
  </si>
  <si>
    <t>Dive into 'Vibrational Medicine' by an unknown master. Explore energetic healing, subtle bodies, and the universe's unseen forces. Uncover ancient secrets to holistic well-being and personal transformation. Your journey to deeper self-awareness begins.</t>
  </si>
  <si>
    <t>Unveil the secrets within the occult 'Meditation Handbook.' This anonymous tome guides you through ancient practices to transcend ordinary perception, access hidden knowledge, and awaken your true spiritual potential.</t>
  </si>
  <si>
    <t>Uncover ancient secrets! This book explores Merkaba, the Star Tetrahedron, and Flower of Life. Dive into sacred geometry to awaken higher consciousness, understand creation, and navigate your path to spiritual enlightenment. Essential reading for unlocking universal truths.</t>
  </si>
  <si>
    <t>Metatron: An Unknown Author unveils the universe's divine architect. Explore esoteric wisdom, cosmic codes, and ancient spiritual truths. A profound guide to higher consciousness.</t>
  </si>
  <si>
    <t>Midnights Circle: A Commentary of AZOTHOZ. Dive into profound esoteric depths. Unearth ancient secrets and unlock hidden knowledge that challenges the very fabric of reality. A journey for the brave few.</t>
  </si>
  <si>
    <t>Delve into 'Mind Change Techniques'. This anonymous esoteric text offers powerful methods to alter perception, transform reality, and awaken hidden powers within. Discover forbidden knowledge to reshape your world.</t>
  </si>
  <si>
    <t>Explore the mind's ultimate secrets. This esoteric treatise by an unknown master unveils its mysteries and offers powerful techniques for profound control. Master your consciousness, transform your reality.</t>
  </si>
  <si>
    <t>Tap into the hidden wellspring of your mind. 'Mind Powers' unveils esoteric secrets to awaken your dormant abilities, empowering you to use &amp; control your destiny and unlock infinite potential. Master your inner world, master your outer reality.</t>
  </si>
  <si>
    <t>Mircea Eliade meets Kundalini. Explore profound links between his theories of myth &amp; the sacred and the potent spiritual awakening of Kundalini energy. A unique dive into esoteric wisdom.</t>
  </si>
  <si>
    <t>The 'Munich Manual': An enigmatic grimoire by an unknown hand. Dive into ancient pages revealing powerful practical magic, protective rituals, and potent occult secrets. A unique journey into forbidden knowledge.</t>
  </si>
  <si>
    <t>Delve into 'Mutus Liber Latomorum,' the enigmatic silent book of an unknown master. Its visual symbolism unveils profound alchemical secrets and hidden occult wisdom. A true guide to the initiated's journey.</t>
  </si>
  <si>
    <t>Mysteria 1: Dive into the esoteric unknown. An anonymous author reveals hidden truths and forgotten wisdom, guiding you through ancient occult secrets. Your journey beyond the veil begins.</t>
  </si>
  <si>
    <t>"Myth of the Burning Times" by an unknown author redefines the witch hunts. Explore suppressed histories and occult perspectives, revealing the true narrative behind an era shrouded in fear and powerful myth.</t>
  </si>
  <si>
    <t>Uncover the forbidden truths within the Necronomicon: R'lyeh Text. This tome of unknown origin whispers cosmic horrors and eldritch secrets from beyond the stars, promising madness or enlightenment to those brave enough to read its pages. Beware the call of Cthulhu.</t>
  </si>
  <si>
    <t>Unveil the profound connections between biblical Nephilim, the divine Elohim, and the enigmatic Annunaki. A journey into humanity's true origins and ancient cosmic lineage.</t>
  </si>
  <si>
    <t>Unlock the secrets of unseen forces. 'New Energy Ways' is an anonymous esoteric guide revealing ancient occult wisdom to master spiritual energy, transform your consciousness, and reshape your reality. Embrace your hidden power.</t>
  </si>
  <si>
    <t>Unveil forbidden truths with 'Next of Kin to Chaos'. This enigmatic text by an unknown hand offers a profound dive into the arcane, exploring the dark lineage of disorder and its secrets. Prepare for revelations that challenge reality.</t>
  </si>
  <si>
    <t>Unlock forbidden power. 'Night Magick' reveals ancient nocturnal rites and hidden esoteric wisdom. Dive deep into the shadows and master profound secrets of transformation.</t>
  </si>
  <si>
    <t>Autor Desconocido te susurra verdades veladas. 'Nigromancia y mortis' no es un libro, es un portal a los arcanos de la muerte. Si has encontrado esta joya, el destino te ha elegido. ¿Te atreves a abrirlo?</t>
  </si>
  <si>
    <t>Northwoods Document: An unknown author's potent grimoire, beckoning you to uncover forbidden occult knowledge and primal magic hidden deep within the wild. Delve into its mysteries, if you dare.</t>
  </si>
  <si>
    <t>Dive into 'Notes on Pagan India.' An unknown author unveils forgotten rituals, ancient spiritual practices, and profound esoteric wisdom from India's hidden past. A rare journey into the continent's mysterious occult heart.</t>
  </si>
  <si>
    <t>Occult Chemistry: Dive into the esoteric study of matter, revealing hidden atomic structures and unseen forces. This unique text challenges conventional science, exploring the mystical underpinnings of the physical world. A profound journey beyond the known.</t>
  </si>
  <si>
    <t>Uncover the hidden truths of "Occult Magic." This anonymous tome delves into ancient rites, forbidden wisdom, and the mastery of unseen forces. A concise guide for unlocking your mystical power.</t>
  </si>
  <si>
    <t>Occult Societies by Unknown Author: Uncover the hidden histories, secret rituals, and profound influence of the world's most enigmatic esoteric groups. Dive deep into the clandestine.</t>
  </si>
  <si>
    <t>"Occult Technology of Power" by an Unknown Author. Uncover the secret systems and methods for harnessing unseen forces and manifesting your will. A profound dive into the mechanics of esoteric influence.</t>
  </si>
  <si>
    <t>Unearth the hidden esoteric wisdom of ancient Egyptian medicine. 'Old Egyptian Medical Papyri' reveals forgotten healing rituals, mystical remedies, and profound insights into the spiritual arts of the Nile.</t>
  </si>
  <si>
    <t>Dive into the mystical depths of Omraam-Mikhael-La-Intuicion. Explore hidden insights and awaken your innate intuitive power, guiding you through an esoteric journey of self-discovery and profound spiritual revelation.</t>
  </si>
  <si>
    <t>Unlock forbidden gnosis. 'On Communication with Set' is an esoteric guide to direct communion with this ancient, potent deity. Delve into profound rituals and hidden insights for bridging realms and accessing otherworldly power. Dare to explore the unknown.</t>
  </si>
  <si>
    <t>'On Set' by Unknown Author. Step behind the curtain of consensus reality. This occult text exposes the unseen architects and ancient script governing existence. Unveil the true stage directions of your world.</t>
  </si>
  <si>
    <t>Unearth timeless secrets with 'On the Corpus Hermeticum'. Dive into profound esoteric texts, revealing ancient Hermetic wisdom, cosmic truths, and the path to spiritual enlightenment. Essential for mystics.</t>
  </si>
  <si>
    <t>Decode the profound secrets of North Eurasian rock art. This book unveils the "Cosmic Hunt," revealing ancient occult knowledge and humanity's lost connection to the cosmos.</t>
  </si>
  <si>
    <t>Unlock ancient wisdom with 'Oracle of the Tarot'. This essential guide delves deep into esoteric mysteries, offering profound insights for divination and personal growth. Master the cards and embark on a timeless journey of self-discovery through the hidden power of the Tarot.</t>
  </si>
  <si>
    <t>Explore the enigmatic origins of the Qabalah. This profound work, by an unknown author, delves into its ancient roots and esoteric beginnings, revealing foundational mystical wisdom and the secrets of a timeless spiritual heritage.</t>
  </si>
  <si>
    <t>'Ouija Cazadora': From an unknown author, uncover the Ouija board's terrifying truth. It's not a mere tool for spirits, but a spectral huntress seeking souls. Dive into occult secrets too dark to ignore.</t>
  </si>
  <si>
    <t>Unearth the secrets of Ouranian-Barbaric tongues. This esoteric guide delves into harnessing primal, celestial languages for potent occult power, ritual, and spiritual transformation.</t>
  </si>
  <si>
    <t>Explore the Ouranian Barbaric Dictionary: a vital arcane lexicon for deciphering cosmic tongues and primal symbols. Uncover hidden power and unlock celestial secrets within its pages.</t>
  </si>
  <si>
    <t>Ouranian barbaric FAQ 3: Direct answers to radical occult questions. An unknown author reveals unconventional truths and potent insights for the seeker of untamed esoteric knowledge.</t>
  </si>
  <si>
    <t>"Ouroborus Tantric Experience": Discover a lost text on eternal cycles &amp; mystical union. Uncover hidden wisdom for self-transformation &amp; spiritual awakening. An unknown author's guide to profound truths.</t>
  </si>
  <si>
    <t>Journey beyond the veil of reality. 'Out of Body, Out of Mind' explores the mysteries of consciousness, astral projection, and the profound mental transformations that occur when the spirit detaches. Redefine your existence.</t>
  </si>
  <si>
    <t>UFOs - Debunking Sitchin. Uncover compelling arguments against Zecharia Sitchin's ancient astronaut theories. A sharp, critical look at Nibiru, Anunnaki, and humanity's hidden past. Challenge what you thought you knew!</t>
  </si>
  <si>
    <t>'Pactum': An enigma from an unknown author. This forbidden text whispers secrets of ancient covenants and untold power. A dangerous invitation to those who dare peer into the abyss.</t>
  </si>
  <si>
    <t>Papyri Graecae Magicae: Dive into authentic ancient Greek &amp; Egyptian magic. A compelling collection of spells, rituals, and invocations revealing the hidden occult practices of antiquity.</t>
  </si>
  <si>
    <t>Explore 'Parts of the Soul,' an intriguing look at a forgotten Greek system of chakras. This book blends Hellenic philosophy with energy centers, offering a unique map for spiritual self-discovery and inner balance.</t>
  </si>
  <si>
    <t>"Path of Initiation" by an Unknown Author: unlock ancient wisdom and embark on a sacred journey of self-discovery. A guide to inner transformation and spiritual awakening.</t>
  </si>
  <si>
    <t>Beyond dogmas, discover the 'Pathless Path to Immortality.' An esoteric guide to spiritual transcendence, unlocking ancient wisdom for eternal being. Unknown Author.</t>
  </si>
  <si>
    <t>Seek true power? 'Patron of Sorcery' unveils forbidden knowledge, ancient rituals, and the hidden keys to dark magic. A compelling, enigmatic guide by an unknown master. Your journey begins.</t>
  </si>
  <si>
    <t>Unveil the profound connections between self and society within the Taoist tradition. This esoteric exploration illuminates how ancient wisdom shapes identity and culture, offering timeless insights into the human experience.</t>
  </si>
  <si>
    <t>Picatrix: The cryptic grimoire guiding medieval occultists. Unravel astral magic, planetary rituals, and talismanic creation to harness cosmic energies. A timeless, anonymous masterpiece of esoteric knowledge.</t>
  </si>
  <si>
    <t>Pistis Sophia: An occult Gnostic text where post-resurrection Jesus unveils cosmic secrets and the soul's struggle (Sophia) to his disciples. A journey into profound esoteric wisdom.</t>
  </si>
  <si>
    <t>Dive into "Plants of the Gods". Uncover the profound sacred healing and visionary powers of plants that shaped ancient cultures and human consciousness. A fascinating ethnobotanical journey into nature's divine pharmacy.</t>
  </si>
  <si>
    <t>Unpack East Siberia's deep bear myths &amp; rituals. Explore ancient shamanic traditions, sacred hunts, and the mystical human-animal bond. A fascinating dive into powerful esoteric lore and primal spiritual practices.</t>
  </si>
  <si>
    <t>Poker Without Cards by Unknown Author: Delve into the ultimate game where fate is played with unseen forces. Master psychic strategy, read hidden intents, and bluff destiny itself. A potent guide to the esoteric art of life's invisible hand.</t>
  </si>
  <si>
    <t>"Pondering Imponderables": Occultism meets late classical physics. Explore esoteric mysteries reflected in historical scientific understanding. A unique lens on the unseen.</t>
  </si>
  <si>
    <t>"Prelude to the Black Arts": A cryptic guide by an unknown author, inviting you to explore forbidden esoteric knowledge and the shadowy paths of occult wisdom.</t>
  </si>
  <si>
    <t>Principia Chaotica: Uncover the foundational principles of cosmic chaos from an unknown source. This esoteric guide promises to re-engineer your reality and reveal the universe's deepest, most unsettling truths.</t>
  </si>
  <si>
    <t>Unleash chaos with 'Principia Discordia'! The hilarious, mind-bending sacred text of Discordianism. Explore Eris, absurd philosophy, and the joy of glorious confusion. A cult classic that challenges reality with wit and anarchic wisdom.</t>
  </si>
  <si>
    <t>Principia Discordia by an Unknown Author: The cult classic for chaos magicians &amp; skeptics. It playfully obliterates dogma, embraces disorder, and redefines reality with irreverent humor and philosophical absurdity. Prepare for delightful subversion!</t>
  </si>
  <si>
    <t>Explore 'Psychic Problems,' a compelling esoteric text by an unknown author. Unravel the mysteries of mental afflictions, hidden forces, and occult remedies. A journey into forgotten wisdom and the unseen depths of the psyche.</t>
  </si>
  <si>
    <t>Your mind is a biocomputer. Learn to program and metaprogram its code. Unlock your potential, master your reality, and harness esoteric power. A guide to self-mastery.</t>
  </si>
  <si>
    <t>'Prometheus' by Autor Desconocido unveils the sacred fire within. Steal forbidden knowledge from the gods, awaken your inner divinity. A potent grimoire for those ready to transcend.</t>
  </si>
  <si>
    <t>Dare to steal the fire of the gods. Unknown Author's 'Prometheus Rising' is your radical guide to unlocking higher consciousness, shattering belief systems, and reprogramming your own reality. Embrace your inner rebel and ascend.</t>
  </si>
  <si>
    <t>Prophetikos: An Unknown Author's guide to deciphering fate. Dive into arcane wisdom, unlock visions of tomorrow, and confront the future's hidden designs. Forbidden knowledge awaits.</t>
  </si>
  <si>
    <t>Unlock the secrets of Norse cosmogony. Explore the sagas of Odin, Thor, Loki, and the cataclysmic Ragnarök. An indispensable guide for practitioners of Northern tradition magic and those seeking ancient spiritual power.</t>
  </si>
  <si>
    <t>Discover the unknown path with 'Puja of the Three Super Faculties'. This potent esoteric text offers ancient practices to ignite your intuition, clairvoyance, and spiritual insight. Unveil mystic powers.</t>
  </si>
  <si>
    <t>"Qablah 4 Beginners" is your essential guide to unlocking ancient esoteric wisdom. Demystify the sacred Tree of Life and begin your mystical journey with this clear, accessible introduction to Qabalistic secrets.</t>
  </si>
  <si>
    <t>QBL or The Brides Reception: Unlock Kabbalistic wisdom. Dive into esoteric mysteries of divine union &amp; spiritual reception. A profound journey into ancient occult knowledge.</t>
  </si>
  <si>
    <t>Unlock destiny's map in your hands. "Chiromancy" by Unknown Author reveals the timeless art of palmistry, guiding you to interpret life's journey etched in every line and mount. Discover insights into character, fate, and potential with this ancient esoteric guide.</t>
  </si>
  <si>
    <t>"Reclaiming the Pagan Worldview" unearths forgotten wisdom. Rediscover ancient earth-centric spirituality, reshape your understanding of life, and forge a deeper connection to nature's timeless spirit.</t>
  </si>
  <si>
    <t>Reflections on Tantra: Unlock esoteric wisdom and hidden truths. Journey into profound spiritual practices, awaken inner power, and achieve conscious liberation. A guide to transformation.</t>
  </si>
  <si>
    <t>Desvela el "Relato de un Exorcismo", del Autor Desconocido. Un tesoro prohibido que susurra secretos de la oscuridad, solo para ti que oyes lo que otros no. La verdad oculta aguarda.</t>
  </si>
  <si>
    <t>Unearth the hidden truths of the Yezidi faith. This rare, profound text by an unknown author offers a fascinating glimpse into the esoteric practices and ancient doctrines of a frequently misjudged spiritual lineage. Essential for seekers of forbidden knowledge.</t>
  </si>
  <si>
    <t>From an anonymous insider, the veil is lifted. "Revelations of an Insider" unveils the deepest secrets of esoteric orders, forgotten truths, and hidden power. Prepare for a paradigm shift as reality is exposed.</t>
  </si>
  <si>
    <t>Unravel ancient mysteries and the occult in Enigmas 01 2014. This issue delves into forgotten lore, unexplained phenomena, and the profound secrets of our world. Your guide to the unknown.</t>
  </si>
  <si>
    <t>Uncover the mysteries within 'Rite of Shaitan.' An Unknown Author's guide to forbidden knowledge and ancient occult rituals for manifesting formidable power. A dangerous path awaits those who dare.</t>
  </si>
  <si>
    <t>Unearth the potent secrets within 'Rite of the Opposer' by an Unknown Author. This esoteric text guides the initiate through adversarial rituals, challenging dogma and unleashing formidable, transformative power from the shadows. Dare to defy.</t>
  </si>
  <si>
    <t>Dare to transform. 'Rite of the Werewolf' unveils ancient, forbidden rituals and lunar arcana for true shapeshifting. Embrace the untamed power, awaken your inner beast. An essential occult guide.</t>
  </si>
  <si>
    <t>La llave a lo velado. 'Ritual A La Aparicion Visible' de Autor Desconocido guarda los antiguos secretos para que lo intangible cobre forma. Un saber arcano, solo para ti.</t>
  </si>
  <si>
    <t>Este es el 'Ritual Romano de Exorcismos', un compendio ancestral de autor desconocido. Sus páginas guardan el saber celosamente custodiado para desterrar sombras. Un tesoro de poder oculto, revelado solo para ti.</t>
  </si>
  <si>
    <t>Rituale Romanum: A compendium of ancient power. Explore potent blessings, profound exorcisms, and sacred rites. Unlock forgotten forces and command the unseen, a vital text for esoteric mastery.</t>
  </si>
  <si>
    <t>Rituales de la Orden Martinista Segundo Templo (Autor Desconocido). Un portal a prácticas esotéricas veladas. Desvela la sabiduría ancestral martinista, un legado oculto solo para ti. La clave de un misterio aguarda.</t>
  </si>
  <si>
    <t>Las verdaderas iniciaciones y ritos ocultos de las sociedades secretas, al fin desvelados. Un manuscrito prohibido del Autor Desconocido. Accede a un conocimiento ancestral, un secreto solo para ti.</t>
  </si>
  <si>
    <t>The 'Ruby Tablet of Set' beckons. This ancient, forbidden grimoire unveils primal gnosis and potent initiations. Unearth hidden truths and confront the mysteries of Set. A dark path awaits the bold.</t>
  </si>
  <si>
    <t>Explore the esoteric power of Rudraksha. Unveil its ancient secrets for spiritual awakening, healing, and protection.</t>
  </si>
  <si>
    <t>Decode the ancient power: 'Rune = Magic' reveals how to truly understand and harness runes. Discover their secrets and unlock profound magical transformation in your life.</t>
  </si>
  <si>
    <t>Delve into the arcane with "Rune Ceremonials." This powerful guide by an unknown master unveils ancient runic rituals for invoking magic, wisdom, and prophecy. Unlock primordial forces and transform your reality.</t>
  </si>
  <si>
    <t>Unlock ancient power with Rune Magic. Explore the mystical symbols for divination, protection, and manifestation. A practical guide to harnessing the timeless energy of the runes for profound personal change.</t>
  </si>
  <si>
    <t>Embark on a mystical journey with 'Rune Readings'. Autor Desconocido guides you to master ancient symbols for divination, foresight, and spiritual insight.</t>
  </si>
  <si>
    <t>Harness ancient runic power via dynamic postures &amp; meditation. This course guides you to spiritual growth &amp; self-mastery, drawing on age-old Nordic wisdom. Explore esoteric secrets for mind, body, spirit.</t>
  </si>
  <si>
    <t>Delve into the shadow-laden secrets of the Sabbatic Kabala. This journey along the Crooked Path unveils forbidden wisdom, empowering the seeker of true esoteric knowledge beyond conventional bounds.</t>
  </si>
  <si>
    <t>Embark on the profound magical journey of Abramelin. This ancient grimoire reveals the elaborate ritual for connecting with your Holy Guardian Angel, unlocking spiritual wisdom and mastering elemental forces.</t>
  </si>
  <si>
    <t>Embark on the ultimate journey of sacred magic. Abramelin III reveals the ancient ritual to contact your Holy Guardian Angel, achieve spiritual purity &amp; divine wisdom. A grimoire for profound transformation.</t>
  </si>
  <si>
    <t>Delve into the mystical world of Sami Shamanism. Explore ancient Arctic wisdom, powerful rituals, and a profound connection to nature. Uncover the timeless esoteric traditions of the Far North.</t>
  </si>
  <si>
    <t>Unearth cosmic secrets. Sanatana Dharma Gita, an enigmatic esoteric text from an unknown hand, unveils timeless wisdom for spiritual mastery and inner illumination. Beyond authorship, beyond time.</t>
  </si>
  <si>
    <t>"Sanctum Regnum": An anonymous tome revealing the deepest esoteric truths. Unlock ancient occult power, master hidden knowledge, and forge your path to spiritual sovereignty and the sacred inner kingdom.</t>
  </si>
  <si>
    <t>Discover the 'Sapphire Tablet of Set,' an enigmatic text of unknown origin. This occult volume promises to unlock ancient Setian mysteries and potent transformative power. Are you ready to gaze into the void?</t>
  </si>
  <si>
    <t>Satanicon: An enigmatic grimoire by an Unknown Author. Dive into forbidden rites, ancient wisdom, and the darkest corners of occult philosophy. A perilous text for those bold enough to grasp true power and unlock secrets beyond human ken.</t>
  </si>
  <si>
    <t>An in-depth examination of Satanic Black Magic, unveiling its history, rituals, and philosophical underpinnings. Explore the often-misunderstood world of occult Satanism through this essential text.</t>
  </si>
  <si>
    <t>Dive deep into the shadows. This essential guide explores Satanism, Tantrism, and the Left Hand Path, revealing esoteric principles of self-sovereignty and transformative occult practice.</t>
  </si>
  <si>
    <t>Delve into a Satanist's raw diaries. Witness a journey of defiance, as one deliberately walks backwards to Xmas, subverting sacred paths and questioning everything. An unknown author's provocative chronicle.</t>
  </si>
  <si>
    <t>'Scientific Magic' unravels the secret logic behind the occult. This anonymous guide bridges reason and mysticism, offering systematic methods to harness hidden powers and reshape your reality.</t>
  </si>
  <si>
    <t>Unearth ancient occult wisdom in the Secret Book of Alchemy. From an unknown hand, this text reveals alchemical secrets for profound transformation and the mastery of forbidden arts. The ultimate quest begins.</t>
  </si>
  <si>
    <t>'Secret Fire' by an Unknown Author: Unlock ancient occult power. This enigmatic text ignites your inner flame, revealing alchemical secrets and profound esoteric transformation.</t>
  </si>
  <si>
    <t>Uncover forbidden truths reflected in the Dark Mirror. This enigmatic tome reveals ancient rituals, hidden powers, and pathways to profound occult wisdom.</t>
  </si>
  <si>
    <t>Discover the true secret of the Gothic God of Darkness. An enigmatic manuscript, penned by an unknown visionary, unveils forbidden knowledge and cosmic shadows. Are you brave enough to read its pages?</t>
  </si>
  <si>
    <t>Uncover the profound art of secrecy with 'Secrets and How to Keep Them.' This arcane manual, from an unknown source, guides you through ancient methods of safeguarding your deepest esoteric wisdom and power. A true gem for the occultist.</t>
  </si>
  <si>
    <t>Seeds of the World Tree unlocks primordial wisdom. Delve into occult cosmology, unravel cosmic mysteries, and awaken to the hidden truths that shape reality and guide spiritual evolution.</t>
  </si>
  <si>
    <t>'Sefer-Ha-Kabbalah': An unknown author's guide to ancient Kabbalistic mysteries. Explore divine secrets, cosmic wisdom, and the esoteric path within this profound, timeless text.</t>
  </si>
  <si>
    <t>Discover 'Segunda Leccion Teorica,' a cryptic esoteric lesson by an unknown author. Uncover profound occult wisdom and secret knowledge, guiding those ready to unlock the universe's hidden truths.</t>
  </si>
  <si>
    <t>Unravel the mysteries of ancient Norse Seidr magic. Explore prophetic trance, weave the threads of fate, and navigate the spiritual realms. This powerful guide reveals forgotten wisdom for mastering the seer's art and shaping your destiny.</t>
  </si>
  <si>
    <t>Explore the hidden depths of Kabbalah with 'Sepher Ha Zohar - Sifra Detzniyutha.' From an unknown author, this esoteric text unveils the profound mystical secrets of creation and the divine. A key to ancient wisdom for true seekers.</t>
  </si>
  <si>
    <t>Dive into the enigmatic depths of Sepher Ha-Bahir. This ancient, unknown text unveils the mystical secrets of Kabbalah, exploring divine emanations and the hidden structure of the cosmos. A pivotal work of esoteric wisdom.</t>
  </si>
  <si>
    <t>Unlock the universe's numerical secrets with the Sepher Sephiroth. This cryptic Qabalistic dictionary reveals the hidden power of words and their mystical correspondences. A profound guide to ancient wisdom, charting the cosmos through gematria. Authored by a master lost to time.</t>
  </si>
  <si>
    <t>Sepher Yetzirah: Ancient Kabbalistic text by an unknown author. Delve into the universe's creation through Hebrew letters &amp; Sefirot, unlocking divine language and cosmic secrets. A mystical journey awaits.</t>
  </si>
  <si>
    <t>Sepher Yetzirah: The ancient text unveiling cosmic creation via Hebrew letters &amp; Sefirot. A foundational work of Jewish mysticism that illuminates the universe's divine structure and its profound secrets.</t>
  </si>
  <si>
    <t>'Servitor Creation': Unveiling the secrets to crafting intelligent thought-forms. Learn to create powerful energetic entities designed to manifest your will and reshape your reality.</t>
  </si>
  <si>
    <t>Delve into the enigmatic Set. This occult exploration reclaims his true essence in Egyptian theology, challenging simplistic views. Discover the misunderstood deity of chaos, change, and potent wisdom. An essential esoteric guide.</t>
  </si>
  <si>
    <t>Explore 'Set it Straight,' an anonymous guide to occult wisdom. Uncover potent methods to realign your inner world, correct imbalances, and master your spiritual journey. A path to clarity awaits.</t>
  </si>
  <si>
    <t>Discover the enigmatic power of Seth. This essential guide illuminates hidden wisdom and potent rituals found within magickal texts, offering a profound journey into chthonic forces for the dedicated occultist.</t>
  </si>
  <si>
    <t>Unveil profound insights with Setian Divination. Delve into unique esoteric methods to peer beyond the veil, exploring forbidden knowledge and shaping your destiny through the lens of ancient Setian wisdom. A rare guide to potent foresight.</t>
  </si>
  <si>
    <t>Explore the mysterious facets of self in 'Seven Shades of Solitude'. An unknown author unveils occult pathways to inner revelation, found only in the deepest isolation. A profound journey awaits.</t>
  </si>
  <si>
    <t>"Seven Yogas for Postmoderns" offers 7 ancient esoteric practices reimagined. Discover potent spiritual technologies to find meaning and power amidst the chaos of contemporary life. Your guide to inner revolution.</t>
  </si>
  <si>
    <t>Unearth the forbidden history of the Cult of Dagon. Shadow over Philistia offers a chilling review of ancient dark rituals and sinister lore. Prepare to delve into the abyss.</t>
  </si>
  <si>
    <t>Tu búsqueda de lo oculto termina aquí. 'Shamanismo, Brujería y Poder' del Autor Desconocido te revela verdades ancestrales. Un compendio sagrado, la sabiduría arcana que solo tú esperabas descubrir.</t>
  </si>
  <si>
    <t>Unlock potent magic with 'Sigil Magic'. Learn to craft unique symbols that channel your will and manifest your desires into reality. A direct, practical guide to shaping your world.</t>
  </si>
  <si>
    <t>Master the art of sigil crafting with this essential guide. Explore theoretical foundations and practical applications to manifest your will and unlock hidden power. Dive deep into symbolic magic and reshape your reality.</t>
  </si>
  <si>
    <t>Unlock practical magic. Learn to craft potent sigils, create loyal servitors, and invoke powerful godforms. Your guide to shaping reality through advanced occult practices.</t>
  </si>
  <si>
    <t>Explore practical magic: craft potent sigils, animate servitors, and invoke godforms to manifest your will. Your guide to occult creation and power.</t>
  </si>
  <si>
    <t>Unlock hidden realms with 'Six Ways of Knowledge'. This enigmatic text reveals ancient esoteric paths to profound understanding and spiritual mastery. A concise guide for the serious seeker of hidden wisdom.</t>
  </si>
  <si>
    <t>Un secreto milenario te aguarda. "Sobre Cabala y Judaismo", de Autor Desconocido, es la llave a la sabiduría oculta, el misticismo hebreo desvelado. Un tesoro de conocimiento ancestral, solo para quien busque la verdad profunda.</t>
  </si>
  <si>
    <t>Unveil the alchemical secret: 'Solve et Coagula'. Explore the ambrosial human seed's power in yogic traditions &amp; Crowley's sexual magick. A potent journey into transformation and esoteric wisdom.</t>
  </si>
  <si>
    <t>Journey into the enigmatic. This compelling esoteric work, by an unknown author, uncovers the profound link between altered states of consciousness and the ancient symbolism of rock &amp; cave art. Explore humanity's earliest spiritual visions.</t>
  </si>
  <si>
    <t>Unveil the secrets of Sumerian Gods &amp; Goddesses. Explore ancient myths, powerful rituals, and the profound esoteric wisdom of Mesopotamia's divine pantheon. A timeless guide to forgotten magic.</t>
  </si>
  <si>
    <t>Delve into the enigmatic origins of Sumerian gods &amp; creation. This ancient text unveils the occult secrets and mythic truths that shaped humanity's first civilizations. Essential for seekers of forgotten wisdom.</t>
  </si>
  <si>
    <t>Summa Daemoniaca: An unknown author's chilling compendium of infernal knowledge. Delve into forbidden demonic hierarchies and potent rituals. This grimoire whispers secrets from the abyss. Tread carefully.</t>
  </si>
  <si>
    <t>'Summoning Spirits,' by an unknown hand. A cryptic grimoire unveiling ancient rites to call forth otherworldly entities. Explore the forbidden knowledge of the unseen. Are you brave enough?</t>
  </si>
  <si>
    <t>Unlock forgotten Hebrew magic. The Sword of Moses is a potent grimoire of divine names and angelic invocations, offering paths to protection, power, and esoteric wisdom. A rare gem for the advanced occultist.</t>
  </si>
  <si>
    <t>'Symbolism' deciphers the universe's hidden code. This essential occult guide unveils the secret power and profound truths behind ancient emblems and esoteric signs. Journey into forgotten wisdom and unlock cosmic perception.</t>
  </si>
  <si>
    <t>"Symbolism of the Tarot" unveils the profound esoteric meanings hidden within each card. Explore ancient wisdom, gain deep insights, and unlock the mystic language of the Tarot for self-discovery.</t>
  </si>
  <si>
    <t>Journey into Early Anglo-Saxon England! Unearth the hidden power and protective magic of animal-ornamented shields. Discover the ancient symbols that guarded warriors in this fascinating occult exploration.</t>
  </si>
  <si>
    <t>Delve into the cryptic symbols of the Invisible Fraternity of Freemasons. Unveiling the esoteric language of a secret brotherhood.</t>
  </si>
  <si>
    <t>"Tabula Maxima Hiperborea" unveils the ultimate Hyperborean tablet of forbidden knowledge. An unknown sage's guide to primordial wisdom, cosmic keys, and the mysteries beyond our world. Dare to decipher its arcane truths.</t>
  </si>
  <si>
    <t>Master the art of chaos. This cryptic guide, 'Tacticus Discordianorum,' reveals esoteric strategies for embracing absurdity, disrupting order, and finding liberation in discord.</t>
  </si>
  <si>
    <t>Tannhauser: Delve into arcane depths. This esoteric tome unveils forbidden knowledge and ancient occult secrets, guiding you through mystic paths to forgotten truths.</t>
  </si>
  <si>
    <t>Este es el portal. "Tantra el arte del amor consciente" desvela verdades ocultas sobre placer, espíritu y conexión. Un mapa para el buscador solitario de la unión sagrada. La clave secreta para ti.</t>
  </si>
  <si>
    <t>Prepare for a radical awakening. 'Tantra of Blowing the Mind' is an esoteric journey designed to shatter your perceptions, expand consciousness, and reveal profound truths beyond the veil of ordinary reality. A mind-altering guide.</t>
  </si>
  <si>
    <t>Tantric Body unveils esoteric wisdom: explore the sacred architecture of self, unlock vital energy, and awaken spiritual consciousness. A transformative journey to embodied liberation.</t>
  </si>
  <si>
    <t>Tantrum Magick unveils how to channel raw emotional energy—even rage—into potent magical force. Transform inner chaos into powerful will and bend reality to your command. A radical guide for the bold practitioner.</t>
  </si>
  <si>
    <t>Delve into the profound wisdom of 'Tarot Cards' by an Unknown Author. This classic guide unveils the ancient art of divination, empowering you to read symbols, master spreads, and gain deep insights into life's mysteries. Your journey awaits.</t>
  </si>
  <si>
    <t>Solo para iniciados: "Tarot Egipcio y Kabala" (Autor Desconocido) revela la conexión arcana que une ambos mundos. Un saber milenario, custodiado por el anonimato, que aguarda ser desvelado por ti. Tu clave.</t>
  </si>
  <si>
    <t>"Tartessos Sociedad Y Mundo Funerario": El Autor Desconocido descorre el velo. Descubre la verdad esotérica de una civilización perdida, sus ritos y secretos funerarios. Un conocimiento arcano te aguarda, solo para tus ojos.</t>
  </si>
  <si>
    <t>Dive into the enigmatic wisdom of 16th &amp; 17th-century Rosicrucian teachings. Unveil mystic secrets, alchemical philosophy, and spiritual enlightenment from a hidden brotherhood. A journey into profound esoteric thought.</t>
  </si>
  <si>
    <t>A technician's pragmatic guide to the Left Hand Path. Explore potent methods for personal power, self-mastery, and transcending societal norms. Equip yourself to meticulously craft your own reality.</t>
  </si>
  <si>
    <t>Telekinesis: Dive into the unknown. This esoteric guide unveils the secrets to moving objects with your mind, awakening your latent psychokinetic powers. Explore the hidden forces of consciousness and redefine reality.</t>
  </si>
  <si>
    <t>Unlock your mind's hidden power with 'Telekinesis Techniques'. This enigmatic guide reveals practical methods to move objects with thought alone. Explore the unseen forces within and begin your journey into the extraordinary.</t>
  </si>
  <si>
    <t>"Telekinesisnow" by Unknown Author is your definitive guide to unlocking psychic potential. Learn ancient techniques to move objects with the power of your mind. Explore the hidden forces within.</t>
  </si>
  <si>
    <t>Dive into the forbidden art of Telepathy. This unknown author's profound guide reveals ancient techniques for silent mind-to-mind connection, unlocking your psychic potential and transcending ordinary communication.</t>
  </si>
  <si>
    <t>The 'Temple of Set' book delves into the philosophical and magical tenets of the esoteric organization, exploring advanced Setian individualism, the concept of Xeper (self-creation), and a distinct path for self-deification rooted in intellectual occultism.</t>
  </si>
  <si>
    <t>Explore the Temple of Set's profound doctrines. This book uncovers its unique religion, foundational philosophy, and the intricate practices of daemonology. Essential reading for serious students of modern occultism.</t>
  </si>
  <si>
    <t>Dive into the forbidden knowledge of Templum 99 - Thelema. Unveil the mysteries of True Will and unlock the path to self-divinity. An anonymous guide to the profound depths of occult philosophy and ritual practice.</t>
  </si>
  <si>
    <t>Explore Ouspensky's Tertium Organum re-examined through a Setian lens. A potent journey into consciousness, self-actualization, and adversarial gnosis, pushing the boundaries of esoteric thought for the discerning initiate.</t>
  </si>
  <si>
    <t>Sumérgete en el Testamento de Salomón, el códice perdido con los secretos del rey para someter espíritus. Sellos y conjuros prohibidos te esperan. Un tesoro de conocimiento ancestral, solo para quien ose desenterrar su verdad oculta.</t>
  </si>
  <si>
    <t>Unveiling the secrets of the North. Teuton, an enigmatic occult text, delves into ancient Germanic mysticism, forgotten rites, and primal spiritual power. Discover forbidden knowledge from a timeless, unknown source.</t>
  </si>
  <si>
    <t>Unearth ancient Germanic wisdom with 'Teutonic Magic'. Delve into runic mysteries, powerful seidr practices, and the profound nature-based sorcery of the North. Discover forgotten spiritual paths and connect with ancestral might in this captivating esoteric guide.</t>
  </si>
  <si>
    <t>Unearth the profound mysteries of 'Teutonic Religion'. This esoteric exploration by an unknown author delves into ancient Germanic spirituality, revealing forgotten rites and the primal magic of Northern Europe.</t>
  </si>
  <si>
    <t>Descifra los Textos de Qumran. Sus páginas, de Autor Desconocido, susurran verdades milenarias y veladas. Un portal a secretos esotéricos esperando ser desvelados solo por ti. El tesoro oculto te aguarda.</t>
  </si>
  <si>
    <t>Thagirion: an obscure manuscript by an unknown author. Plunge into the depths of forbidden gnosis, navigate primordial chaos, and confront the radiant darkness. A potent key to unlock profound, untamed forces.</t>
  </si>
  <si>
    <t>Enter 'The Abyss and Tabaet,' a profound esoteric revelation from an unknown author. Navigate the depths of hidden knowledge and ascend through ancient mysteries. A potent guide for unlocking spiritual truths.</t>
  </si>
  <si>
    <t>The Apohpenion: A mysterious grimoire from an unknown source. Explore its esoteric depths to uncover ancient knowledge, hidden rituals, and paths to ultimate enlightenment.</t>
  </si>
  <si>
    <t>"The Black Raven": A cryptic guide from an unknown master. Unearth forbidden occult lore, ancient rites, and shadowed revelations within its pages. Not for the faint of heart.</t>
  </si>
  <si>
    <t>Dive into the ultimate grimoire of ceremonial magic. This classic compiles ancient rituals, spirit invocations, and potent conjurations from forbidden texts. A guide to mastering occult power for serious practitioners.</t>
  </si>
  <si>
    <t>Dare to open "The Book Of Lucifer." Unveil forbidden wisdom, ancient mysteries, and the true meaning of enlightenment beyond dogma. A potent guide for seekers ready to embrace the light that challenges the shadows.</t>
  </si>
  <si>
    <t>Unlock the potent secrets of the abyss with 'The Dark Forces' by Unknown Author. Explore forbidden wisdom, ancient rituals, and the hidden powers that govern our reality. A compelling guide for the brave.</t>
  </si>
  <si>
    <t>Venture into the chilling depths of 'The Devil Hath Laughed,' an esoteric tome by an Unknown Author. Uncover forbidden wisdom whispered from ancient shadows, where the very fabric of existence is questioned and dark truths echo with infernal mirth.</t>
  </si>
  <si>
    <t>Plunge into a raw, unsettling diary. A drug fiend's confessions unveil a mind fractured by addiction, revealing dark esoteric visions and forbidden inner worlds. An intense journey beyond the veil.</t>
  </si>
  <si>
    <t>Explore the stark contrasts in ancient Irish and Anglo-Saxon magic. This rare text unearths the unique practices and esoteric traditions that set these powerful mystical systems apart. A must-read for occult historians and practitioners.</t>
  </si>
  <si>
    <t>Unlock the ancient mysteries with 'The Doors of Perception.' This esoteric text, by an unknown master, promises to shatter your perceived reality, opening your mind to hidden realms and profound occult insights. Are you ready to see?</t>
  </si>
  <si>
    <t>Unearth ancient Egypt's secrets of the afterlife. This timeless guide offers powerful spells &amp; divine wisdom to navigate the perilous journey of the soul, face judgment, and achieve eternal rebirth.</t>
  </si>
  <si>
    <t>"The Egyptian Revival" unveils the profound esoteric wisdom of ancient Egypt. Explore lost mystical practices, symbolic truths, and the enduring magic that continues to inspire modern occultism. A timeless journey into hermetic knowledge.</t>
  </si>
  <si>
    <t>Decode your inner world. "The Equation of Subconscious Resistance" reveals esoteric insights to conquer hidden blocks, master your mind, and unleash profound personal power. A vital text for seekers of true self-mastery.</t>
  </si>
  <si>
    <t>Unlock ancient secrets of the Egyptian underworld. This powerful text guides souls through perilous trials, offering spells and prayers for safe passage, eternal rebirth, and divine judgment. A profound journey into death's mysteries.</t>
  </si>
  <si>
    <t>"The God Set" unveils forbidden knowledge from an unknown author. Explore hidden realities, divine mechanics, and the blueprint of existence within this profound esoteric text.</t>
  </si>
  <si>
    <t>Seek the ultimate truth. 'The Golden Essence' by Unknown Author illuminates forgotten paths to profound esoteric knowledge and inner power. Unlock your spiritual destiny.</t>
  </si>
  <si>
    <t>Explore the fervent discussions surrounding the Omnipoten Oom. This mysterious guide uncovers ancient esoteric wisdom, revealing profound insights into cosmic power and the ultimate truth.</t>
  </si>
  <si>
    <t>Unlock ancient mysteries. The Greater Key of Solomon is a foundational grimoire of ceremonial magic, revealing methods for invoking spirits, creating talismans, and mastering esoteric arts. Delve into the occult wisdom attributed to King Solomon.</t>
  </si>
  <si>
    <t>Master the arcane arts with The Greater Key of Solomon. This foundational grimoire reveals intricate rituals, talismans, and methods for commanding spirits. A timeless occult classic.</t>
  </si>
  <si>
    <t>Uncover the forbidden history of money. An unknown author reveals the occult energies, ancient cabals, and secret agendas that truly forged our financial systems. See wealth, power, and control through an esoteric lens.</t>
  </si>
  <si>
    <t>Unearth the full history of magic. This anonymous work offers a clear, precise exposition of its procedures, rites, and arcane wisdom. Dive into the true nature of the occult.</t>
  </si>
  <si>
    <t>Unearth the enigmatic history of the Emerald Tablet of Hermes. Explore its mysterious origins and profound impact on alchemy, Hermeticism, and the quest for universal wisdom across the ages. A key to ancient secrets.</t>
  </si>
  <si>
    <t>"The Incredible Rockefellers" by Unknown Author unravels the secret occult history and esoteric power of this legendary dynasty. Prepare to unmask the hidden forces behind their astounding influence.</t>
  </si>
  <si>
    <t>Anonymous wisdom for the digital mystic. 'The Internet Book of Shadows' is a modern grimoire of occult lore, spells, and rituals adapted for the cyber age. Explore unseen currents where ancient magic meets the boundless web.</t>
  </si>
  <si>
    <t>Uncover the controversial vision of 'The Jewish Utopia,' subtitled 'Authentic Zionist Mein Kampf.' This enigmatic text by an unknown author explores a unique blueprint for power and destiny, delving into hidden philosophies that challenge conventional thought. A compelling, provocative read.</t>
  </si>
  <si>
    <t>Dive into a profound study of cross-cultural influence, tracing the intricate connections between Kabbalah, Philosophie Cosmique, and Integral Yoga. Uncover shared esoteric wisdom across diverse spiritual paths in this captivating exploration.</t>
  </si>
  <si>
    <t>The Lamion Continuum: Unknown author. Unearth forbidden cosmic truths. This enigmatic text promises to shatter reality and reveal the universe's hidden architecture. Are you ready?</t>
  </si>
  <si>
    <t>Explore "The Life Power," an enigmatic guide from an unknown author. Discover ancient secrets to vital energy, cosmic influence, and manifesting your deepest desires. Awaken the ultimate force within.</t>
  </si>
  <si>
    <t>Uncover the lost art of cultivation with 'The Magic Mushroom Growers Guide.' This anonymous text reveals how to nurture powerful allies for spiritual exploration &amp; expanded consciousness. Your guide to unlocking inner realms.</t>
  </si>
  <si>
    <t>"The Mystery Revealed" by Unknown Author: Uncover ancient esoteric secrets &amp; profound truths. A powerful journey into the occult for those brave enough to see beyond the veil.</t>
  </si>
  <si>
    <t>From an unknown master, The Nature of Magic reveals the profound essence of occult power. Uncover ancient principles, unlock its true nature, and grasp the unseen forces governing reality. Essential reading for seekers.</t>
  </si>
  <si>
    <t>Dive into 'The Oera Linda Book': a mysterious 13th-century manuscript. It claims to reveal ancient European history, matriarchal lore, and cosmic secrets. Authentic relic or clever hoax? You decide.</t>
  </si>
  <si>
    <t>Unveil the boundless power of 'The Omnipotent Oom'. This esoteric guide reveals ancient keys to spiritual awakening, cosmic mastery, and ultimate reality.</t>
  </si>
  <si>
    <t>The Ouranos Rite: A mysterious grimoire unveiling ancient celestial power. Unknown author guides you to cosmic transformation through potent esoteric rituals. Dare to ascend beyond the mundane.</t>
  </si>
  <si>
    <t>The Pagan Book of Words: Unleash spiritual power with this essential collection of prayers, chants, and rhymes. Elevate your pagan rituals and deepen your connection to the sacred.</t>
  </si>
  <si>
    <t>Enter 'The PATH'. An enigmatic, anonymous guide to profound occult wisdom. Uncover ancient secrets, awaken your inner power, and journey beyond the known.</t>
  </si>
  <si>
    <t>Uncover the ultimate alchemical secret. 'The Philosophers Stone,' from an unknown sage, reveals the path to immortality, endless wealth, and profound enlightenment. A timeless quest for true wisdom.</t>
  </si>
  <si>
    <t>An unknown author illuminates Kabbalah's central place in Russian Freemasonry's doctrine. Explore the profound esoteric links between these powerful traditions. A captivating dive into occult history for seekers of hidden knowledge.</t>
  </si>
  <si>
    <t>Journey deep into Northern Eurasian occult lore! Discover the Pleiades as cosmic openings, the Milky Way as a sacred bird path, and the Girl on the Moon's forgotten cultural links. Unearth ancient esoteric wisdom.</t>
  </si>
  <si>
    <t>"The Problem With Magick Books" by Unknown Author uncovers the inconvenient truths about occult literature. This critical analysis reveals the inherent flaws &amp; common misconceptions sabotaging your practice. Redefine your understanding of magical texts.</t>
  </si>
  <si>
    <t>Uncover hidden consciousness. 'The Psychedelic Experience' (Unknown Author) offers an occult guide to altered states, guiding seekers through profound inner journeys and expanded perception. A timeless exploration of mind.</t>
  </si>
  <si>
    <t>From an unknown author, The Rosicrucian Manifesto: a cryptic declaration that shook the 17th century. Uncover the secret society's call for universal reform &amp; hidden wisdom. A timeless invitation to profound esoteric knowledge for the discerning mind.</t>
  </si>
  <si>
    <t>Unveil the "Science of Magic." This book models psychic ability through a parapsychological lens, exploring its connection to magical will. Discover the rational framework behind the esoteric power of intention.</t>
  </si>
  <si>
    <t>Unlock forbidden knowledge. The Secret Grimoire of Turiel reveals ancient angelic magic, powerful rituals, and invocations. A rare guide to connecting with celestial powers and mastering profound esoteric wisdom.</t>
  </si>
  <si>
    <t>THE SIGILS BOOK: A guide to unlocking hidden power through symbolic magic. Explore the ancient art of sigil creation and manifestation, passed down by an unknown hand. Transform your will into reality.</t>
  </si>
  <si>
    <t>Delve into the strange case of Ben Kadosh. This anonymous occult text promises to unravel a mystery of forbidden rituals, arcane power, and unsettling revelations.</t>
  </si>
  <si>
    <t>'The Sword of Song' unearths the hidden power of sound in occult practice. Discover ancient secrets to wield vibration as a spiritual weapon for magic, creation, and mastery.</t>
  </si>
  <si>
    <t>Explore 'The Tao of Physics' by Autor Desconocido. This esoteric journey reveals profound parallels between modern physics and ancient Eastern mysticism, uncovering the hidden unity of the cosmos where science and spirit converge.</t>
  </si>
  <si>
    <t>Unlock ancient wisdom with 'The Tarot.' This essential guide from an unknown author delves into the mystical power of the cards for divination, self-discovery, and understanding life's hidden truths.</t>
  </si>
  <si>
    <t>"Thoughts on Seth" offers a unique lens on channeled wisdom. An Unknown Author explores the fabric of consciousness, reality, and your true self. Prepare to expand your mind and redefine existence.</t>
  </si>
  <si>
    <t>Three Green Books - Druidism. Unknown author. Ancient esoteric wisdom, unveiled. Explore nature's mystic path and forgotten Druidic secrets.</t>
  </si>
  <si>
    <t>An unknown prophet unveils profound esoteric truths. Zarathustra guides your journey to awaken the higher self, challenging all conventions for radical spiritual rebirth. Uncover ancient wisdom for true transformation.</t>
  </si>
  <si>
    <t>Los arcanos de Euskal Herria te esperan. El 'Tratado de brujería vasca' de Autor Desconocido, una llave a saberes ocultos y rituales ancestrales. Solo para el buscador de verdades veladas.</t>
  </si>
  <si>
    <t>Adéntrate en el Tratado Esotérico de Teurgia del Autor Desconocido. Un compendio ancestral de conocimientos divinos, celosamente guardado, ahora susurrándote los misterios para invocar lo sagrado.</t>
  </si>
  <si>
    <t>Descubre los secretos más profundos del averno. Este Tratado Sobre El Infierno, del Autor Desconocido, es una llave a conocimientos que pocos se atreven a buscar. Tu acceso exclusivo a verdades ocultas más allá de este mundo.</t>
  </si>
  <si>
    <t>Journey into the heart of Northern magic! Explore ancient tree cults, their powerful rites, and the hidden wisdom woven into the very fabric of nature. Uncover forgotten secrets of the forest.</t>
  </si>
  <si>
    <t>"Trinity" by an Unknown Author unveils the sacred power of three. Explore profound esoteric mysteries, connecting mind, body, and spirit to unlock ancient wisdom and cosmic consciousness.</t>
  </si>
  <si>
    <t>Delve into Renaissance esotericism. Trithemius &amp; Cusanus pioneered a pre-Faustian quest, boldly embracing the "will to the infinite" and ultimate cosmic knowledge.</t>
  </si>
  <si>
    <t>Tulku Thondup: A profound esoteric revelation. Unearth ancient wisdom, journey into the depths of mind, and unlock timeless spiritual truths. This text ignites your path to awakening.</t>
  </si>
  <si>
    <t>Explore the hidden depths with Twilight Yoga III. A potent guide to esoteric practices and forbidden knowledge. Awaken dormant powers and transcend reality.</t>
  </si>
  <si>
    <t>Uncover forbidden knowledge and awaken inner power. This profound guide to ancient mysteries offers a transformative journey into the unseen.</t>
  </si>
  <si>
    <t>Ultraculture Journal One: A clandestine guide to reimagining reality. Explore radical occultism, conscious evolution, and the future of magic. For those ready to transcend the ordinary.</t>
  </si>
  <si>
    <t>Sumérgete en un apócrifo árabe desconocido. La ordalía secreta de Salomón, un enigma del autor, aguarda. Sabiduría oculta para quien ose desvelar sus misterios.</t>
  </si>
  <si>
    <t>Unlock the extraordinary within. 'Unleash Your Telekinetic Ability' reveals ancient techniques to master psychokinesis. Learn to move objects with thought alone and harness your mind's true power. Transform your reality today.</t>
  </si>
  <si>
    <t>'Verbal Rune Magic' reveals the lost art of spoken power. Harness ancient wisdom to manifest your desires through vocalized intent. Unlock mystic secrets from an unknown source.</t>
  </si>
  <si>
    <t>Accede al conocimiento velado de los Maestros del Lejano Oriente. Su vida y enseñanzas completas, un secreto ancestral ahora a tu alcance. Sabiduría única del Autor Desconocido.</t>
  </si>
  <si>
    <t>Hear the ancient whispers of 'Vox Sabbatum.' An unknown author's guide to forbidden occult knowledge, rituals, and the hidden paths of power. Unveil secrets from the shadows.</t>
  </si>
  <si>
    <t>'Wake of the Red Death' unveils forbidden occult secrets. Confront the shadowed rites and arcane knowledge born from pestilence's grip. A potent, unknown grimoire for those seeking power beyond the grave.</t>
  </si>
  <si>
    <t>Delve into the forbidden lore of Norse Draugr. Uncover the grim secrets of the walking dead, their ancient power, and occult pathways to mastering undeath.</t>
  </si>
  <si>
    <t>"Weird Ways of Witchcraft" reveals the unconventional. Explore peculiar rituals, forgotten spells, and the truly strange paths of occult power. Dare to look beyond?</t>
  </si>
  <si>
    <t>Uncover the truth behind Orgone Energy. This book explores the vital, controversial cosmic life force, its nature, and its profound influence on health, psyche, and the universe. A deep dive into a revolutionary concept.</t>
  </si>
  <si>
    <t>Beyond the shadows, discover the real story. 'Wicca - A True History of Witchcraft' unearths the genuine origins and evolution of modern paganism. Unmissable for those seeking factual insight into its authentic past.</t>
  </si>
  <si>
    <t>Continue your magical journey with 'Wicca - Book 2'. Uncover deeper secrets, advanced spells, and a profound understanding of the Craft. Essential reading for every evolving practitioner.</t>
  </si>
  <si>
    <t>Uncover the authentic Gardnerian Book of Shadows. This foundational text, compiled by an unknown author, reveals the core rituals, spells, and wisdom that define traditional Wicca. Essential for practitioners.</t>
  </si>
  <si>
    <t>Este es el portal a la auténtica Wicca. Wicca El Verdadero Arte De Las Brujas, de Autor Desconocido, revela un legado de saber oculto, una verdad ancestral reservada para ti. Descifra sus misterios.</t>
  </si>
  <si>
    <t>Tap into the ancient power of nature with "Wiccan Spells." This guide offers practical magic for love, protection, prosperity, and personal growth. Discover effective rituals to manifest your intentions and weave your own destiny.</t>
  </si>
  <si>
    <t>Explore the unseen. Autor Desconocido's 'Within and Beyond' unveils esoteric knowledge, guiding you through the profound mysteries of consciousness and the cosmos.</t>
  </si>
  <si>
    <t>Workings of Babalon by an unknown hand. Uncover potent esoteric methods and rituals to embrace primal feminine power and gnosis. This guide offers a deep dive into hidden currents for true occult transformation.</t>
  </si>
  <si>
    <t>Delve into the anonymous secrets of Priapus worship. Explore ancient fertility rites, phallic symbolism, and their esoteric significance. A fascinating journey into forgotten mysteries.</t>
  </si>
  <si>
    <t>Delve into the enigmatic world of Nostradamus. This intriguing collection deciphers his prophecies, revealing ancient secrets and glimpses of future events. A must for seekers of esoteric knowledge and timeless mysteries.</t>
  </si>
  <si>
    <t>Delve into the depths of the Yezidi Black Book. This rare, enigmatic text by an unknown author unveils ancient esoteric wisdom, sacred rituals, and profound hidden knowledge. A true occult treasure.</t>
  </si>
  <si>
    <t>Unlock ancient spiritual power. 'Yoga Easy Steps' by Autor Desconocido guides you through accessible practices, revealing esoteric wisdom for inner transformation and mystical awakening.</t>
  </si>
  <si>
    <t>Yoni Tantra: An unknown author's profound guide to esoteric divine feminine power. Explore sacred sexuality, tantric rituals, and spiritual liberation. Ancient wisdom unveiled.</t>
  </si>
  <si>
    <t>Practical esoteric rites for radical awakening. 'Zenarchist Cookbook' offers forbidden recipes to dismantle the mind's prisons and ignite true spiritual liberation.</t>
  </si>
  <si>
    <t>Discover the Zoetic Grimoire of Zos. An enigmatic text on living magic and deep gnosis, channeling primal forces through the self. Explore the mysteries from an unknown author.</t>
  </si>
  <si>
    <t>Zohar vol 1: An ancient, profound journey into Kabbalah's cosmic secrets. Unveil divine light and the hidden truths of the universe and soul in this foundational esoteric text.</t>
  </si>
  <si>
    <t>Un autor desconocido desvela el 'Árbol Genealógico de Las Religiones Del Mundo'. Descubre el linaje oculto de toda creencia, un saber ancestral y secreto guardado solo para tu curiosidad.</t>
  </si>
  <si>
    <t>Unleash cosmic secrets with Bacher Elman's 'Astrologia'. Delve into ancient wisdom to understand your destiny, interpret celestial influences, and navigate life's path. Essential for seekers exploring the profound connection between stars and self.</t>
  </si>
  <si>
    <t>Bacher Elman's 'Astrologia' reveals the cosmic tapestry influencing your destiny. Dive deep into esoteric traditions, unlocking profound occult insights into self, fate, and the universe. A compelling journey for seekers.</t>
  </si>
  <si>
    <t>Bacher Elman's 'Astrologia' offers an esoteric journey into cosmic influences. Discover ancient wisdom to master your destiny and unlock celestial insights.</t>
  </si>
  <si>
    <t>Unlock cosmic wisdom with Bacher Elman's 'Astrologia 1'. Your essential guide to mastering the ancient art of astrology. Explore celestial secrets and understand your destiny through this foundational esoteric text.</t>
  </si>
  <si>
    <t>Bacher Elman's Astrologia 2: Delve into advanced cosmic wisdom. Uncover deeper celestial secrets and master the intricate language of the stars. Elevate your astrological practice, gain profound insights, and harness the universe's powerful designs. An essential guide.</t>
  </si>
  <si>
    <t>Bacher Elman's Astrologia 3: Uncover the profound, esoteric depths of cosmic influence. Master celestial secrets, decode your destiny, and elevate your astrological journey. Essential for advanced occult students.</t>
  </si>
  <si>
    <t>Master the stars with Bacher Elman's Astrologia 4. This essential occult guide unveils advanced astrological secrets for profound self-discovery and understanding of your cosmic journey.</t>
  </si>
  <si>
    <t>Unlock advanced cosmic insights with Bacher Elman's Astrologia 7. Explore deeper layers of celestial influence, navigate your path, and master the esoteric language of the stars. A powerful guide for unlocking hidden astrological truths.</t>
  </si>
  <si>
    <t>"El Enigma Sagrado" de Baigent Michael desvela una hipótesis impactante: ¿Jesús y María Magdalena tuvieron un linaje sagrado? Un viaje a través de sociedades ocultas, verdades prohibidas y una historia que reescribe todo lo que crees. Fascinante.</t>
  </si>
  <si>
    <t>Baigent Michael expone en "La Conspiración Del Mar Muerto" los secretos ocultos tras los Manuscritos. ¿Qué verdades se silenciaron sobre el cristianismo primitivo? Prepárate para una revelación que desafía la historia oficial.</t>
  </si>
  <si>
    <t>A. Bailey: 'Iniciación Humana y Solar'. Guía esencial para la evolución consciente. Descubre los misterios de las iniciaciones espirituales que elevan el ser humano y lo conectan al vasto plan cósmico. Despierta tu propósito interior.</t>
  </si>
  <si>
    <t>Alice Bailey desvela en el Tratado de los Siete Rayos las claves de la evolución espiritual. Explora las energías cósmicas y psicológicas que rigen el universo y tu ser, guiándote hacia el despertar y la comprensión profunda de la sabiduría esotérica.</t>
  </si>
  <si>
    <t>Explore Balanones' 'Temple of Set': an esoteric journey into Setian philosophy. This book challenges conventional spirituality, guiding you through the Left Hand Path towards individual apotheosis and self-empowerment. Uncover profound intellectual and occult insights.</t>
  </si>
  <si>
    <t>Balanones' Temple of Set FAQ is the definitive guide to Setian philosophy. Get clear, concise answers to your questions about this unique Left Hand Path tradition, its principles, and practices.</t>
  </si>
  <si>
    <t>Unleash ancient power. Baphomantis Luciferian's 'Satanic Mass' guides you through profound rituals, forbidden knowledge, and the depths of infernal mysticism.</t>
  </si>
  <si>
    <t>Baque de Bufor explores the hidden concordance of myth, physical existence, Kabbalah, and Hermetic wisdom. Unravel deep esoteric connections.</t>
  </si>
  <si>
    <t>Barbarin desvela 'El Enigma De La Esfinge'. Adéntrate en su simbolismo ancestral y descubre los secretos ocultos tras el mito. Un viaje esotérico que revela verdades profundas sobre el cosmos y el ser.</t>
  </si>
  <si>
    <t>Bardon's "Initiation into Hermetics": The definitive practical guide to magic &amp; self-mastery. Step-by-step training to develop mind, soul, body, and unlock hidden potential through universal Hermetic principles. Your path to true occult power.</t>
  </si>
  <si>
    <t>Descubre la enigmática conversión al cristianismo en sus albores. Bardy Gustave explora las profundas fuerzas espirituales y transformaciones ocultas que redefinieron almas y el mundo antiguo.</t>
  </si>
  <si>
    <t>"The Magus" by Barrett: A definitive 19th-century grimoire. Unlock secrets of natural &amp; ceremonial magic, alchemy, astrology, and demonology. Your essential guide to esoteric knowledge and hidden powers.</t>
  </si>
  <si>
    <t>Uncover ancient secrets with Barrett's "The Magus Vol 1." A definitive guide to natural magic, alchemy, astrology, Kabbalah, and spirit evocation. Your essential journey into historical Western occultism begins here.</t>
  </si>
  <si>
    <t>Barrett's The Magus Vol 2 unlocks advanced ceremonial magic. Explore the practical applications of planetary magic, talismans, and spirit evocation. Essential for those ready to wield ancient occult power and deepen their esoteric journey.</t>
  </si>
  <si>
    <t>Bart E. desentierra los Credos Perdidos del NT. Explora los cristianismos olvidados y las verdades ocultas que configuraron la fe. Una visión reveladora más allá de la historia oficial.</t>
  </si>
  <si>
    <t>Basilius's Twelve Keys: A cryptic alchemical guide to the Magnum Opus. Decipher its symbolic wisdom to unlock the secrets of the Philosopher's Stone and inner transformation. An occult classic.</t>
  </si>
  <si>
    <t>BAUER Juan Bautista desvela la Prehistoria Bíblica. Génesis 1-11, más allá de lo literal, revela orígenes cósmicos y saberes ancestrales. Redefine tu comprensión de la creación y la humanidad. Un viaje esencial al misterio fundacional.</t>
  </si>
  <si>
    <t>Begley's "Biblia Cabalistica" is an essential key to unlocking the ancient wisdom of Kabbalah. Explore its mystic depths, unravel divine mysteries, and navigate the profound spiritual architecture of the universe.</t>
  </si>
  <si>
    <t>Unveil the hidden architecture of intelligence with Ben Goertzel. 'The Structure of Intelligence' explores profound, almost mystical patterns governing thought, diving deep into the essence of cognition. Essential reading for seekers of true understanding.</t>
  </si>
  <si>
    <t>¿Qué ocultan 'Los Manuscritos del Mar Muerto'? BENITO D Juan Pablo desvela enigmas ancestrales y una sabiduría esotérica que reescribe la historia. Adéntrate en verdades veladas que desafían lo conocido.</t>
  </si>
  <si>
    <t>Benjamin Rowe's Enochian Magick Reference: An indispensable guide to the profound angelic system. Master its intricate structure, Keys, and Calls for powerful ritual practice.</t>
  </si>
  <si>
    <t>Unlock your power. Benjamin Rowe's 'The Essential Skills of Magick' is a concise, practical guide to core occult techniques. Develop your inherent abilities and achieve true magical mastery.</t>
  </si>
  <si>
    <t>Charles Berlitz desvela los enigmas de civilizaciones perdidas y secretos ancestrales. Un viaje a mundos olvidados que desafían historia y ciencia. ¿Estás listo para descubrir las verdades ocultas del pasado?</t>
  </si>
  <si>
    <t>Besant A. desvela el enigmático mundo de Blavatsky y los Maestros. Descubre la sabiduría oculta y las verdades esenciales que cimentaron la Teosofía. Un viaje imprescindible al corazón del esoterismo y la conexión con guías espirituales.</t>
  </si>
  <si>
    <t>"Estudio sobre la conciencia" de Besant A.: Sumérgete en un viaje esotérico para desvelar los misterios de tu mente y las dimensiones ocultas del ser. Expande tu percepción de la realidad.</t>
  </si>
  <si>
    <t>Sumérgete con Besant en la evolución oculta de la vida y la forma. Descubre los intrincados ciclos del alma, su viaje a través de planos cósmicos y el destino que aguarda. Una obra esencial para entender el propósito de la existencia.</t>
  </si>
  <si>
    <t>Besant A desvela los arcanos de 'La Fraternidad de Yucatan'. Un viaje a la sabiduría oculta, ritos ancestrales y los secretos de una hermandad esotérica. Explora verdades más allá de lo visible.</t>
  </si>
  <si>
    <t>Sumérgete en 'La sabiduría de los Upanishads' con A. Besant. Un viaje esotérico a la esencia védica. Desvela profundos misterios del Ser y el universo. Conoce la fuente del autoconocimiento.</t>
  </si>
  <si>
    <t>Besant A. desvela las leyes cósmicas que moldean tu destino. Un manual esotérico para comprender los principios ocultos de la vida superior, despertar tu conciencia y alcanzar la plenitud espiritual. ¡Eleva tu ser!</t>
  </si>
  <si>
    <t>Besant A. desvela en 'Los Misterios' las claves de la sabiduría oculta. Un recorrido profundo por las verdades espirituales y el conocimiento ancestral que iluminará tu mente y transformará tu percepción de la existencia.</t>
  </si>
  <si>
    <t>Sumérgete en la visión de Blake sobre la opresión femenina y la libertad del alma. Oothoon clama por amor sin cadenas, desafiando las convenciones de Albion con furia mística. Una obra profética que revela profundas verdades esotéricas.</t>
  </si>
  <si>
    <t>Blavatsky ilumina la Teosofía y la figura del Guru. Descubre la sabiduría oculta y la auténtica guía espiritual. Imprescindible para el buscador consciente.</t>
  </si>
  <si>
    <t>Gemas de Oriente de H.P. Blavatsky: un faro hacia la sabiduría ancestral. Desvela secretos milenarios, filosofías ocultas y verdades esotéricas que desafiarán tu percepción del cosmos. Un tesoro para el buscador.</t>
  </si>
  <si>
    <t>H.P. Blavatsky te guía por Los Orígenes del Ritual para desenterrar las profundas raíces esotéricas y el simbolismo oculto de las prácticas sagradas. Un viaje esencial al saber ancestral que moldea la conciencia humana.</t>
  </si>
  <si>
    <t>Blavatsky H.P. te invita a "Narraciones ocultistas y cuentos macabros". Un portal a lo arcano: descubre misterios esotéricos y el terror que acecha en las sombras del conocimiento. Relatos que te perturbarán.</t>
  </si>
  <si>
    <t>Blavatsky te guía por el corazón místico del Indostán. Explora grutas secretas y selvas ancestrales, desvelando antiguos misterios, rituales ocultos y sabiduría esotérica de Oriente. Un viaje único.</t>
  </si>
  <si>
    <t>Unlock deeper realities with Helena Blavatsky's "Practical Occultism." A concise guide to esoteric wisdom, spiritual development, and applying ancient principles for profound self-transformation.</t>
  </si>
  <si>
    <t>Helena Blavatsky's 'Occult Studies' unveils profound esoteric wisdom. Explore hidden laws, spiritual evolution, and ancient mysteries. A captivating journey into the heart of the unseen, challenging conventional thought and revealing deeper truths about existence.</t>
  </si>
  <si>
    <t>"La Voz del Silencio" de Blavatsky: Un faro místico que desvela las enseñanzas ocultas para el despertar espiritual. Explora la sabiduría milenaria en tu interior a través de la introspección y la paz.</t>
  </si>
  <si>
    <t>"Magia Experimental: Manual Práctico" de Gian Piero Bona. Tu guía esencial para aplicar técnicas ocultas. Experimenta, manipula la energía y transforma tu realidad paso a paso. ¡Descubre el poder que llevas dentro!</t>
  </si>
  <si>
    <t>Unravel the full tapestry of Western magic's history. Borce T. Gjorgjievski meticulously traces its arcane roots, influential figures, and evolving practices across centuries. Essential reading for any occult enthusiast.</t>
  </si>
  <si>
    <t>Brzezinski explores the intricate balance of power among China, Europe, and Russia. Discover the "Geostrategic Triad" to grasp global dynamics and future challenges.</t>
  </si>
  <si>
    <t>Brzezinski maps the mystical sigil of global power. 'The Grand Chessboard' reveals the arcane rites of American primacy, an alchemical formula for planetary control. Peer into the hidden matrix guiding the fate of empires.</t>
  </si>
  <si>
    <t>E. Bucheli te invita a una conexión íntima con el Tarot. "Ud y el Tarot" es tu guía esencial para descifrar los arcanos, entender tu destino y potenciar tu intuición. Un viaje personal al autoconocimiento.</t>
  </si>
  <si>
    <t>'El Sutra del Corazón' de Buda: Un texto esotérico que revela la profunda verdad de la vacuidad. Desvela las ilusiones de la existencia, liberando la mente hacia la sabiduría primordial. Tu guía concisa a la iluminación.</t>
  </si>
  <si>
    <t>El Sutra del Diamante de Buda: Una joya esotérica que, como un diamante, corta las ilusiones de la existencia. Desvela la verdadera naturaleza de la realidad, libera tu mente y transforma tu percepción. Sabiduría milenaria.</t>
  </si>
  <si>
    <t>Magia Egipcia (Budge y Wallis): Desvela los secretos ancestrales de los faraones. Sumérgete en rituales, conjuros y la sabiduría oculta del Nilo. Un clásico para explorar el poder místico del Antiguo Egipto.</t>
  </si>
  <si>
    <t>Jesús Bujanda desvela la fascinante perspectiva de la Teología Católica sobre ángeles, demonios y magos. Explora la intersección entre la fe y el ocultismo, ofreciendo un análisis revelador de lo divino, lo infernal y la magia.</t>
  </si>
  <si>
    <t>Walter Burkert's "Ancient Mystery Cults" meticulously uncovers the veiled rituals &amp; profound beliefs of antiquity's most enigmatic secret societies. A captivating exploration of forgotten spiritual paths, offering unparalleled insight into their enduring power.</t>
  </si>
  <si>
    <t>Burkert explora cómo el mundo de Homero dio paso a la magia. Un viaje fascinante por las raíces del pensamiento esotérico y ritual en la antigüedad clásica.</t>
  </si>
  <si>
    <t>Burkert Walter desvela el hilo secreto que une la épica homérica con el fascinante mundo de la magia. Explora los orígenes y evolución del pensamiento ocultista desde la Grecia antigua hasta los magos. Una travesía imprescindible por el alma esotérica de la historia.</t>
  </si>
  <si>
    <t>Unlock genuine magical power with Butler's 'Magic: Its Ritual Power and Purpose.' This essential guide reveals the practical steps and profound reasons behind effective ritual. Understand, practice, and transform your reality.</t>
  </si>
  <si>
    <t>¿Un linaje real oculto y el Grial? "El Grial Secreto De Los Merovingios" desvela la conexión esotérica y los secretos de una dinastía ancestral. Prepárate para una verdad que reescribe el mayor misterio de la historia.</t>
  </si>
  <si>
    <t>Desvela los hilos invisibles que mueven el mundo. Camacho Santiago expone 20 grandes conspiraciones, desde misterios ancestrales hasta tramas modernas. ¿Te atreves a ver la verdad que se oculta a plena vista y desafiar lo establecido?</t>
  </si>
  <si>
    <t>Hans von Campenhausen desvela los cimientos ocultos de la fe. Sumérgete en la mente de los Padres Griegos, donde la teología primigenia forjó la Iglesia. Descubre sus profundas verdades.</t>
  </si>
  <si>
    <t>Campos Luis Carlos te sumerge en "El Misterio De Los Vampiros Bakaladeros". Un viaje esotérico para desvelar la auténtica naturaleza y el poder arcano de estos seres enigmáticos. Lo que crees saber cambiará.</t>
  </si>
  <si>
    <t>Canseliet, maestro alquimista, desvela en 'La alquimia explicada' los secretos del Gran Arte. Una guía lúcida para comprender sus símbolos, procesos y la búsqueda de la Piedra Filosofal. Imprescindible para el estudioso.</t>
  </si>
  <si>
    <t>Manuel Carballal desafía la razón en 'La Ciencia Frente Al Misterio'. Un análisis forense de ocultismo, OVNIs y enigmas paranormales. Descubre dónde la lógica choca con lo inexplicable y los límites de nuestra realidad se difuminan.</t>
  </si>
  <si>
    <t>José María Caro Rodríguez desvela los enigmas de la Masonería. Adéntrate en sus ritos, símbolos y la verdadera historia de esta poderosa hermandad. Un viaje imprescindible al corazón de su secreto.</t>
  </si>
  <si>
    <t>¿Y si Palestina fue más que cuna de civilizaciones? Alex Carrera desvela verdades ocultas y la presencia alienígena que moldeó el pasado de Tierra Santa en "Aliens En Palestina". Un viaje a los orígenes del enigma.</t>
  </si>
  <si>
    <t>Liber Kaos by Peter Carroll: The groundbreaking guide to chaos magic. Break free from dogma, forge your own gnosis, and master radical techniques to reshape reality. A pragmatic call to awaken your inner magician and wield direct power.</t>
  </si>
  <si>
    <t>Peter Carroll's classic on Chaos Magic. Challenge your reality, master belief as a tool, and wield practical techniques to shape your world. This essential guide redefines magic for the modern age, empowering you to create your own system.</t>
  </si>
  <si>
    <t>Peter Carroll's Liber MMM: Your direct route to practical chaos magic. This influential text unveils radical techniques for self-transformation &amp; reality hacking. Essential reading for the modern occultist seeking tangible results.</t>
  </si>
  <si>
    <t>Liber Null by Peter Carroll: The definitive guide to Chaos Magic. Uncover practical techniques to bend belief, master will, and fundamentally reshape your reality. Essential for radical occultists.</t>
  </si>
  <si>
    <t>Si el Código Da Vinci te intrigó, prepárate. Chandelle Rene destapa los verdaderos misterios, adentrándose en el ocultismo, sociedades secretas y códigos milenarios. Descubre las verdades que la ficción solo rozó. Tu percepción del mundo no será la misma.</t>
  </si>
  <si>
    <t>Unfurl the 'Seven Scrolls' by Children of the Black Rose. Each scroll unveils a layer of forbidden Gnosis, guiding seekers through profound occult mysteries to awaken latent power and deeper cosmic insight.</t>
  </si>
  <si>
    <t>Christopher Hyatt's Black Book Omega: A searing journey into advanced magick, self-deification, and absolute power. Challenge your limits, conquer the self, and ascend. For the daring occultist seeking ultimate transformation.</t>
  </si>
  <si>
    <t>Cicerón sondea los velos de la adivinación y el destino, explorando la esencia del cosmos. Una mirada profunda a los arcanos del futuro y la voluntad cósmica.</t>
  </si>
  <si>
    <t>Diccionario de Símbolos de Cirlot: tu portal a la sabiduría oculta. Desentraña el lenguaje secreto de mitos, sueños y el inconsciente colectivo. Una guía esencial para el explorador esotérico.</t>
  </si>
  <si>
    <t>Unlock forgotten power with Claremont's 'The Book of Ancient Formulas'. Delve into arcane rituals and potent wisdom, revealing secrets meant for the true adept. Master the hidden energies of antiquity.</t>
  </si>
  <si>
    <t>Coomaraswamy's 'Articulos Selectos Metafisica' offers profound insights into perennial philosophy. Explore timeless truths and esoteric wisdom bridging East and West, illuminating the sacred nature of reality.</t>
  </si>
  <si>
    <t>Desvela la sabiduría oculta de Oriente. 'Mitos y Leyendas Hindúes y Budistas' de Coomaraswamy Nivedita te sumerge en las profundidades esotéricas de deidades, héroes y filosofías milenarias. Más que historias, una revelación espiritual.</t>
  </si>
  <si>
    <t>¿Listo para la verdad? Michel Coquet revela a Los Maestros de La Gran Logia Blanca. Descubre quiénes son, su sabiduría ancestral y cómo guían el despertar espiritual. Un libro clave para tu sendero oculto.</t>
  </si>
  <si>
    <t>"Vuelve La Atlántida" de Cori Patricia: la revelación de una sabiduría ancestral olvidada. Desvela los misterios de la civilización perdida y reconecta con el conocimiento oculto para el despertar de tu poder interior.</t>
  </si>
  <si>
    <t>Crowley's Gematria Dogma Kabalistico reveals the numerical bedrock of reality. Unlock the secrets of creation and consciousness through profound Kabbalistic insight. A must for serious esoteric explorers.</t>
  </si>
  <si>
    <t>Liber Aash by Aleister Crowley: A profound Qabalistic journey mapping the universe's hidden structure and the Tree of Life. Essential for unlocking esoteric mysteries and advanced occult study.</t>
  </si>
  <si>
    <t>Unleash the lunar mysteries with Aleister Crowley's 'Liber Artemis Iota'. Potent rituals invoke the wild goddess, revealing divine feminine power and ancient occult secrets. A quintessential Thelemic grimoire.</t>
  </si>
  <si>
    <t>Crowley's 'Liber B Vel Magos' reveals the path of the Magus, outlining the oath to declare your Law and manifest true Will. A concise guide to divine authority within Thelema's highest grades.</t>
  </si>
  <si>
    <t>Crowley's Liber Cheth: The essential esoteric guide for aspirants seeking the Knowledge and Conversation of the Holy Guardian Angel. Navigate the mystical path to profound spiritual union and self-realization.</t>
  </si>
  <si>
    <t>Aleister Crowley's Liber Had: The esoteric core of Thelema. Discover Hadit, the singular, pulsating point of self within infinite Nuit. Ignite your True Will and explore your divine universe.</t>
  </si>
  <si>
    <t>Aleister Crowley's 'Liber Stellae Rubeae': A concise Qabalistic grimoire guiding the solitary adept to profound self-initiation and union with the Holy Guardian Angel. Unlock your magical potential.</t>
  </si>
  <si>
    <t>Manuscritos De Kabballah de Crowley: Adéntrate en la visión única del Maestro. Magia, misticismo y los secretos del Árbol de la Vida revelados. Un texto esencial para el ocultista audaz.</t>
  </si>
  <si>
    <t>Dive into Aleister Crowley's groundbreaking "Tarot." A revolutionary exploration of occult wisdom, Qabalah, and ritual magic through the cards. Uncover hidden truths and master your destiny with this essential esoteric guide.</t>
  </si>
  <si>
    <t>Delve into forbidden lore where cosmic terrors meet ritualistic sorcery. Crowley's Necronomicon unveils keys to transdimensional entities, igniting the Will to power through eldritch secrets and unfathomable rites. A grimoire of ultimate, dangerous knowledge.</t>
  </si>
  <si>
    <t>Explore Crowley's Liber III Frag. This cryptic text offers a concentrated dose of occult instruction, unveiling potent magical formulae for the serious student of Thelema. A powerful, concise key to higher gnosis and ritual practice.</t>
  </si>
  <si>
    <t>Unlock true will with Crowley's "Magic Without Tears." Witty, no-nonsense letters demystify Magick, Thelema, and the occult. Practical wisdom for the modern practitioner.</t>
  </si>
  <si>
    <t>Unlock the core of Aleister Crowley's vision with 'Resumen Magick.' A concise guide to True Will, ritual, and self-divinity for profound occult transformation. Master your destiny.</t>
  </si>
  <si>
    <t>Aleister Crowley's 'Book of Lies': 93 paradoxical chapters of occult wisdom. Unravel cryptic truths about Qabalah, Thelema, and existence, veiled in apparent falsehoods. A mind-bending journey designed to challenge perception and awaken your inner gnosis.</t>
  </si>
  <si>
    <t>Crowley's Goetia: The essential guide to demonic evocation. Uncover ancient rituals and sigils to command 72 spirits, a foundational text for mastering ceremonial magic.</t>
  </si>
  <si>
    <t>Scott Cunningham's 'Wicca' is your gentle guide to solitary, nature-based magic. Discover ethical practice and personal empowerment on a clear, accessible path for the modern Witch.</t>
  </si>
  <si>
    <t>Scott Cunningham te guía en la magia natural del practicante solitario. Descubre cómo iniciar tu camino esotérico, realizar rituales sencillos y conectar con tu poder interior y la naturaleza, todo desde tu independencia. Una guía esencial para tu práctica personal.</t>
  </si>
  <si>
    <t>Hania Czajkowski te invita a desentrañar 'La Conspiracion De Los Alquimistas'. Un viaje a través de secretos arcanos y el poder oculto de una hermandad milenaria que forjó el destino. ¿Estás listo para la verdad?</t>
  </si>
  <si>
    <t>'Magia Celta' de D.J. Conway te sumerge en el corazón de la tradición druida. Descubre sus rituales, deidades y la conexión sagrada con la naturaleza. Despierta tu poder ancestral.</t>
  </si>
  <si>
    <t>Dive into D.W. Owens' "A Small Dictionary Of Pagan Gods and Goddess." Your essential, concise guide to ancient deities, forgotten pantheons, and their powerful lore. Perfect for seekers of esoteric knowledge and curious minds exploring the rich tapestry of myth and spirituality. Uncover timeless wisdom.</t>
  </si>
  <si>
    <t>Dale Carnegie's secret grimoire unveils the subtle art of human influence. Master forgotten social alchemy to charm any soul, bend wills, and forge a powerful dominion over minds. Cultivate your devoted circle.</t>
  </si>
  <si>
    <t>Unravel the secrets of Tarot's past! Dame Gabby charts its mystic journey from ancient roots to modern spreads. A must-read for seekers of esoteric knowledge and card enthusiasts.</t>
  </si>
  <si>
    <t>Uncover the origins of evil with Daniel Conway's "Demonology and Devil Lore Volume 1." A scholarly yet captivating exploration of ancient beliefs, myths, and the evolving perception of demonic forces throughout history. Essential reading for occultists &amp; historians.</t>
  </si>
  <si>
    <t>Daniel Conway's "Demonology and Devil Lore Vol 2" plunges deeper into the infernal. Uncover ancient beliefs, dark history, and the true nature of demons and devils. An essential journey for occult enthusiasts.</t>
  </si>
  <si>
    <t>Daniel Min's Interlinear Apocalypse unveils forbidden secrets. Dive deep, word-by-word, into occult prophecy, revealing profound truths about revelation, destiny, and the unseen forces shaping our world.</t>
  </si>
  <si>
    <t>Master cosmic connection with Daniel Min's 'Planetary Awareness Technique'. Learn potent methods to align with celestial energies, expand your consciousness, and harness universal forces for spiritual growth. A vital guide for esoteric exploration.</t>
  </si>
  <si>
    <t>¿Y si el "oro de los dioses" fuera la prueba? Von Däniken explora la Cueva de los Tayos, revelando hallazgos que desafían la historia oficial y sugieren la intervención de seres de otro mundo en nuestro pasado. Un enigma que te atrapará.</t>
  </si>
  <si>
    <t>Erich Von Däniken te adentra en la Cueva de los Tayos. Descubre una biblioteca metálica y el oro que desafía la historia, ¿legado de dioses ancestrales o civilizaciones perdidas?</t>
  </si>
  <si>
    <t>¿Y si los "dioses" antiguos eran astronautas? Erich von Däniken reinterpreta mitos y ruinas, sugiriendo que "las naves de los dioses" eran naves espaciales y sus visitas moldearon la humanidad. Una lectura que desafía la historia conocida.</t>
  </si>
  <si>
    <t>Erich von Däniken desafía la historia. ¿Fueron los "profetas" del pasado testigos de visitas extraterrestres? Descubre pruebas inquietantes que reescribirán lo que creías saber sobre nuestros orígenes y el verdadero mensaje de las civilizaciones antiguas.</t>
  </si>
  <si>
    <t>Unlock the dark secrets of alchemical transformation with David Cherubim's 'Alchemy The Black Art'. Delve into forbidden knowledge, spiritual evolution, and the elusive quest for the Philosopher's Stone.</t>
  </si>
  <si>
    <t>David Hume desentraña el enigma del ser. Su Tratado de la Naturaleza Humana te sumerge en los profundos misterios de la mente, pasión y moral, revelando las verdades ocultas de nuestra esencia. Un viaje de autodescubrimiento esotérico.</t>
  </si>
  <si>
    <t>Alexandra David-Néel desvela el Tíbet oculto. Sumérgete en la magia de sus yoguis, la sabiduría de los lamas y los ritos asombrosos de sus Magos y Místicos. Un viaje fascinante a la espiritualidad más profunda.</t>
  </si>
  <si>
    <t>¿Y si la historia que conoces esconde más? Ricardo De La Cierva explora los Misterios De La Historia, revelando conspiraciones y enigmas que reescribirán tu pasado.</t>
  </si>
  <si>
    <t>Desentraña los velos de la historia de Israel II con De Vaux. Descubre los secretos ancestrales y las fuerzas místicas que moldearon su destino. Un viaje revelador más allá de lo evidente, hacia el corazón esotérico de la antigüedad.</t>
  </si>
  <si>
    <t>Misterios En El Vaticano de De Vicente Enrique: Sumérgete en la cara oculta de la Santa Sede. Secretos esotéricos, ritos ancestrales y conspiraciones silenciadas. Una revelación que cuestiona todo lo que creías saber sobre la fe y el poder.</t>
  </si>
  <si>
    <t>Unearth ancient wisdom in John Dee's 'Charlotte Fell Smith.' This esoteric text unveils cryptic secrets, angelic communication, and profound pathways to occult knowledge.</t>
  </si>
  <si>
    <t>La Heptarquia Mística de John Dee desvela el sistema para contactar a los siete reyes angélicos celestiales. Un texto clave que explora la magia enoquiana y los secretos de la jerarquía divina para obtener conocimiento y poder.</t>
  </si>
  <si>
    <t>John Dee's Liber Secundus: An intimate record of angelic dialogues via Edward Kelley. Explore the birth of Enochian magic, revealing secret keys to celestial realms and forbidden knowledge from Elizabethan England.</t>
  </si>
  <si>
    <t>John Dee's Primus: Delve into the enigmatic mind of the Elizabethan magus. Uncover angelic communication, forgotten wisdom, and the cosmic keys to ultimate knowledge. A seminal work of occult lore.</t>
  </si>
  <si>
    <t>Luis del Pino desentraña los secretos del 11M. Explora los enigmas ocultos y las piezas que la versión oficial no quiso mostrar. Un libro que revela las verdades incómodas de un día que marcó la historia.</t>
  </si>
  <si>
    <t>Master practical psychic self-defense with Denning &amp; Phillips. Guard your energy, cleanse your aura, and secure your spiritual well-being from unseen influences. Learn to protect your mind and thrive against negativity.</t>
  </si>
  <si>
    <t>Deschner's 'Criminal History of Christianity' unearths the church's dark, hidden past. A controversial exposé detailing centuries of violence, power, and deception, challenging conventional narratives. Prepare for an unsettling truth.</t>
  </si>
  <si>
    <t>Diez Alegria desvela el esoterismo y los secretos que el cristianismo ha guardado. Una visión que desafía lo convencional. ¿Estás listo para su cara oculta?</t>
  </si>
  <si>
    <t>Fernando Diez De Medina desvela los enigmas de Tiwanaku, la capital ancestral del misterio. Un viaje esotérico por una civilización milenaria y sus verdades ocultas que desafiarán tu mente. ¿Listo para explorar lo desconocido?</t>
  </si>
  <si>
    <t>Dion Fortune revela el entrelazado poder de amor y sexo desde el ocultismo. Explora la energía detrás de la unión, su dimensión espiritual y su rol en la transformación personal. Una guía esencial para desvelar los misterios de la pasión.</t>
  </si>
  <si>
    <t>Dive into the core of Western esotericism with Dion Fortune's "Cabala." This practical guide illuminates the Tree of Life, offering profound insights for spiritual growth and magical understanding.</t>
  </si>
  <si>
    <t>Dion Fortune desvela cómo adiestrar tu mente. Una guía maestra para el ocultista, forjando intelecto y voluntad, que abre la senda iniciática y despierta el poder interior. Tu viaje al dominio empieza aquí.</t>
  </si>
  <si>
    <t>Dion Fortune's "Glastonbury" invites you to journey into the soul of a sacred land. Discover the potent spiritual energies and ancient mysteries of Avalon, where myth and magic converge. A profound esoteric quest revealing the timeless heart of occult wisdom.</t>
  </si>
  <si>
    <t>Explora los fundamentos de la magia ritual con Dion Fortune. Una guía esencial para comprender y practicar las artes ocultas de forma segura y efectiva. Desvela los misterios del universo interior.</t>
  </si>
  <si>
    <t>Dion Fortune revela la Cábala Mística. Una guía esencial para desvelar sus misterios, del Árbol de la Vida a la aplicación práctica de principios espirituales y mágicos. Despierta tu conciencia.</t>
  </si>
  <si>
    <t>Dion Fortune teje en 'La Sacerdotisa del Mar' una iniciación lunar profunda. Descubre el poder oculto femenino, la magia elemental y la sabiduría ancestral que emerge del mar. Un místico viaje a lo arcano.</t>
  </si>
  <si>
    <t>Dion Fortune te guía en "Magia Aplicada". Descubre las bases prácticas del ocultismo para dirigir fuerzas, transformar tu realidad y manifestar tu voluntad. Un clásico esencial.</t>
  </si>
  <si>
    <t>Dion Fortune's 'Mystical Qabalah': The definitive guide to the Tree of Life. Unveil ancient wisdom, cosmic structure, and profound self-discovery. A timeless classic for spiritual exploration.</t>
  </si>
  <si>
    <t>Dion Fortune desvela cómo el ocultismo puede transformar tu rutina. 'Ocultismo práctico en la vida diaria' te ofrece herramientas para aplicar la sabiduría esotérica en tu día a día y potenciar tu vida. Una guía esencial.</t>
  </si>
  <si>
    <t>Master your energetic boundaries. Dion Fortune's 'Psychic Self Defense' is the ultimate guide to discerning and deflecting unwanted psychic intrusions, negative thought forms, and energetic vampirism. Arm yourself with occult wisdom.</t>
  </si>
  <si>
    <t>Discordian's provocative grimoire for radical self-divinization. Uncover esoteric paths where the psycho-erotic meets the divine, guiding you to transcendent gnosis.</t>
  </si>
  <si>
    <t>Discordian's "Jonesboria Discordia" invites you to shatter reality. Embrace chaos, question everything, and discover the hidden truths within sacred absurdity. A mind-bending journey into modern esotericism.</t>
  </si>
  <si>
    <t>Sumérgete en la era de angustia donde paganismo y cristianismo chocaron. Dodds desvela el alma de una civilización en transformación, buscando respuestas espirituales profundas.</t>
  </si>
  <si>
    <t>A 16-month-old is recovering after falling out of a second-story window in West Philadelphia. The toddler was reportedly playing near an open window and fell out when the screen gave way.
The parents stated they were downstairs when they heard the commotion and rushed to find their child on the ground outside. Miraculously, the toddler suffered only minor injuries and is expected to make a full recovery.
Authorities are investigating the incident, but no charges have been filed. This event serves as a stark reminder of the importance of window safety, especially in homes with young children.</t>
  </si>
  <si>
    <t>Adéntrate con Doreste Tomas en 'El Fascinante Mundo De Lo Oculto'. Desvela misterios ancestrales, magia, esoterismo y verdades veladas. Una exploración profunda de lo que la realidad esconde.</t>
  </si>
  <si>
    <t>Doreste Tomás te guía por los grandes temas de lo oculto y lo insólito. Explora esoterismo, misterios profundos y fenómenos inexplicables que desafiarán tu percepción y expandirán tu visión del mundo.</t>
  </si>
  <si>
    <t>Dray's "Nox Infernus" unveils the profound secrets of the infernal night. A potent guide to forbidden wisdom, dark rituals, and the hidden powers lurking beyond the veil.</t>
  </si>
  <si>
    <t>Dive into Drunvalo Melchizedek's profound teachings. Discover the sacred space within your heart, shift consciousness, and find true inner peace. A transformative guide to spiritual awakening and unity.</t>
  </si>
  <si>
    <t>Drunvalo Melchizedek's "Merkaba Meditation" is your guide to activating your light body. Master sacred geometry and ancient wisdom to awaken higher consciousness and accelerate spiritual growth.</t>
  </si>
  <si>
    <t>Drunvalo Melchizedek unveils the profound link between Mother Earth, sacred water, and the awakening of a new global consciousness. A vital guide for spiritual evolution in changing times.</t>
  </si>
  <si>
    <t>Explore the universe's blueprint: the Flower of Life. Drunvalo Melchizedek guides you through sacred geometry, unlocking ancient secrets of creation, consciousness, and our true origins. A profound journey.</t>
  </si>
  <si>
    <t>DuQuette cracks the code of Solomon's magic! Discover the practical and psychological 'keys' hidden within ancient grimoires. Go beyond literal texts to unlock real power. Essential occult reading.</t>
  </si>
  <si>
    <t>Unlock ancient mysteries with Durville's "Ciencia Secreta." Dive into occult science, exploring hidden forces and the untapped potential of the human spirit. Essential for seekers of profound knowledge and spiritual insights.</t>
  </si>
  <si>
    <t>Explora con Durville los Misterios Iniciáticos. Desvela secretos ancestrales, rituales ocultos y el conocimiento esotérico que guía hacia la transformación interior. Tu sendero hacia la sabiduría velada.</t>
  </si>
  <si>
    <t>Dodds desentraña la turbulenta era donde paganos y cristianos luchaban por el alma del mundo. Un estudio esencial sobre la profunda angustia espiritual que moldeó la fe, el misticismo y el pensamiento de la Antigüedad tardía.</t>
  </si>
  <si>
    <t>Eduardo R. Zancolli desvela en 'El misterio de las coincidencias' los hilos invisibles que conectan eventos. ¿Pura casualidad o un lenguaje secreto del universo? Sumérgete en la sincronicidad y descifra el verdadero poder oculto tras cada encuentro fortuito.</t>
  </si>
  <si>
    <t>Eliade desvela el chamanismo: un portal a las técnicas arcaicas del éxtasis. Sumérgete en la conciencia alterada y la conexión con lo invisible. Un estudio clave sobre los misterios ancestrales del espíritu.</t>
  </si>
  <si>
    <t>Mircea Eliade en 'Imágenes y Símbolos': la clave para descifrar el universo oculto tras mitos y ritos. Un viaje fascinante al poder ancestral de los símbolos, revelando el sentido profundo de lo sagrado y el espíritu humano.</t>
  </si>
  <si>
    <t>Mircea Eliade desvela la trama oculta de la fe en 'Historia de las creencias religiosas'. Un viaje esencial por mitos, ritos y lo sagrado que forjó la espiritualidad humana desde sus orígenes. Explora la esencia universal de lo divino.</t>
  </si>
  <si>
    <t>Elias Eduardo revela el secreto mejor guardado de nuestro planeta. Adéntrate en los misterios de 'La Tierra Es Hueca' y descubre civilizaciones ocultas bajo la superficie. ¿Estás listo para desafiar tu realidad?</t>
  </si>
  <si>
    <t>Unveil ancient mysteries with Eliphas Levi's 'Course of Occult Philosophy.' This essential guide deciphers Kabbalah, ceremonial magic, and the hidden sciences. A profound journey into the very heart of esoteric knowledge for true seekers.</t>
  </si>
  <si>
    <t>Eliphas Levi condensa siglos de saber oculto. Sumérgete en los fundamentos del dogma y el ritual de alta magia: Kabbalah, Tarot, alquimia. Un clásico atemporal para desvelar los misterios del esoterismo.</t>
  </si>
  <si>
    <t>Sumérgete en la obra maestra de Eliphas Levi. Dogma y Ritual de Alta Magia es tu guía esencial para explorar la teoría y práctica del ocultismo, desde la Cábala hasta el Tarot. Descubre los arcanos de la magia.</t>
  </si>
  <si>
    <t>Eliphas Levi desvela el velo del ocultismo en 'Dogma y Ritual de Alta Magia'. Obra cumbre que sistematiza los principios y prácticas de la magia occidental. Un clásico fundamental para explorar los arcanos del conocimiento esotérico.</t>
  </si>
  <si>
    <t>Eliphas Levi revela el Dogma y Ritual de la Alta Magia. Un clásico del ocultismo que unifica ciencia, religión y filosofía. Desentraña los principios y prácticas secretas para comprender la magia ceremonial y el esoterismo.</t>
  </si>
  <si>
    <t>Eliphas Levi desvela los secretos de la Alta Magia en su obra cumbre. 'Dogma y Ritual' fusiona Cábala, Tarot y alquimia, revelando la ciencia detrás del ocultismo occidental. Imprescindible para el buscador de lo arcano.</t>
  </si>
  <si>
    <t>Eliphas Levi te sumerge en la Alta Magia. 'Dogma y Ritual' es la clave para entender el ocultismo: desvela sus principios teóricos y su práctica ceremonial. Un pilar esencial del saber esotérico que transformará tu visión.</t>
  </si>
  <si>
    <t>Eliphas Levi presenta El Gran Arcano: el secreto universal revelado. Explora los misterios de la magia, la cábala y la ciencia divina. Una guía esencial para quien busca la verdad oculta del cosmos.</t>
  </si>
  <si>
    <t>Eliphas Levi te guía. El Libro de los Sabios: una inmersión en la Kabbalah, magia y filosofía oculta. Desentraña los misterios ancestrales y encuentra la clave del conocimiento arcano.</t>
  </si>
  <si>
    <t>Eliphas Levi desvela los velos de la historia oculta. Desde los ritos ancestrales hasta los arcanos de la alquimia, 'Historia de la Magia' es una guía indispensable para entender el poder y la sabiduría secreta que moldeó civilizaciones.</t>
  </si>
  <si>
    <t>Sumérgete en el universo oculto con Eliphas Levi. Descubre los principios de la magia, la cábala y la verdadera sabiduría esotérica. Un viaje revelador a los secretos del universo.</t>
  </si>
  <si>
    <t>Eliphas Levi te entrega la llave maestra. "La Clave de los Grandes Misterios" descifra los secretos de la magia, cábala y el esoterismo. Un texto fundamental para desvelar el universo oculto.</t>
  </si>
  <si>
    <t>Adéntrate en los arcanos de Eliphas Levi. Las Clavículas de Salomón desvelan el poder de la magia ceremonial, símbolos y rituales para dominar los misterios ocultos. Una guía indispensable para el adepto esotérico.</t>
  </si>
  <si>
    <t>Eliphas Levi desvela el velo de lo invisible. Sumérgete en las paradojas de la alta ciencia, donde la lógica se funde con la magia para revelar las leyes secretas del universo y la existencia.</t>
  </si>
  <si>
    <t>Eliphas Levi abre las puertas a la gnosis. El Libro de los Esplendores, una joya de la Cábala y la alta magia, ilumina los senderos ocultos de la sabiduría. Descubre sus misterios.</t>
  </si>
  <si>
    <t>Eliphas Levi te sumerge en 'Los Misterios de La Cábala'. Desvela la magia, el simbolismo y la sabiduría oculta que conectan el cosmos con tu ser interior. Un viaje transformador.</t>
  </si>
  <si>
    <t>Eliphas Levi revela los secretos ancestrales de la Kabbala. Sumérgete en el corazón de esta sabiduría mística que enlaza magia, filosofía y espiritualidad. Una obra cumbre para descifrar los misterios del universo.</t>
  </si>
  <si>
    <t>Eliphas Levi desvela en 'Los Vivos y los Muertos' los arcanos que unen lo terrenal y lo trascendente. Un viaje al ocultismo para comprender los lazos invisibles entre la vida y el más allá.</t>
  </si>
  <si>
    <t>Eliphas Levi desvela el Ritual Mágico del Santum Regnum. Sumérgete en la alta magia ceremonial y los secretos cabalísticos para dominar tu universo interior. Despierta tu poder oculto. Guía esencial para el iniciado.</t>
  </si>
  <si>
    <t>Enodia Black's Ice Magick: Embrace the raw power of the frozen. Unlock ancient rites and potent secrets to harness elemental ice for profound transformation. A unique occult guide to mastering the chilling energies of winter's heart.</t>
  </si>
  <si>
    <t>Sumérgete con Eratóstenes en los Catasterismos. Descubre la mitología estelar: cómo héroes y dioses ascendieron al firmamento, convirtiéndose en las constelaciones que guían nuestro destino. Un clásico esotérico del cielo.</t>
  </si>
  <si>
    <t>Ernst Schertel's 'Magic History Theory Practice' is a profound journey through magic's arcane past, complex theories, and practical applications. Essential reading for unlocking esoteric knowledge.</t>
  </si>
  <si>
    <t>Eslava Galán te invita a explorar los velos de la historia. Desde la enigmática Tartessos hasta otros secretos ocultos, prepárate para un viaje que desafía lo establecido. ¿Te atreves a desvelar lo prohibido?</t>
  </si>
  <si>
    <t>Fernandez Gustavo desvela en 'Los secretos del triunfo sexual' la alquimia oculta para dominar tu energía vital. Transforma tu magnetismo, atrae el éxito y potencia tu sexualidad a un nivel esotérico.</t>
  </si>
  <si>
    <t>Los secretos ancestrales de tu energía sexual revelados. Potencia tu magnetismo, domina tu vitalidad y alcanza el verdadero triunfo en cada aspecto de tu ser.</t>
  </si>
  <si>
    <t>Finkelstein y Silberman desvelan la Biblia. Descubre secretos milenarios, verdades veladas y los orígenes ocultos de su narrativa. Una visión esotérica que redefine lo sagrado y lo profano.</t>
  </si>
  <si>
    <t>Nicolas Flamel's "Hieroglyphic Figures" unveils alchemical secrets. Decode ancient symbols, discover hidden wisdom, and pursue the path to the Philosopher's Stone. A timeless esoteric journey.</t>
  </si>
  <si>
    <t>Fonck Sieveking Oscar's 'Construyamos Arcas' is a guide to spiritual resilience. Discover occult wisdom to forge your inner sanctuary, a vessel for consciousness amidst life's flux. Prepare for transformation.</t>
  </si>
  <si>
    <t>Dive into the primordial depths with Michael Ford's Book of Cain. A potent grimoire of Luciferian gnosis, exploring forbidden power, rebellion, and self-deification.</t>
  </si>
  <si>
    <t>Michael Ford's 'Fly the Light': A guide to Luciferian gnosis and self-deification. Embrace the adversarial current, forge forbidden illumination, and unlock your true occult power.</t>
  </si>
  <si>
    <t>Michael Ford's Infernal Sabbat Live. Unleash the infernal within. Explore forbidden rites, dark gnosis, and potent Luciferian self-transformation. A direct path for antinomian occultists seeking true power.</t>
  </si>
  <si>
    <t>Michael Ford's 'Interview' delves deep into the adversarial current, a raw exploration of Luciferian philosophy and the Left Hand Path. Uncover potent insights for self-empowerment and dark spiritual awakening.</t>
  </si>
  <si>
    <t>Maskim Hul by Michael Ford: A potent grimoire unveiling ancient Babylonian chaos gnosis and Qliphothic sorcery. Explore adversarial empowerment and forbidden wisdom for radical self-transformation.</t>
  </si>
  <si>
    <t>Michael Ford's Paitisha explores ancient Persian demonology, guiding initiates through Daeva invocation and adversarial gnosis. A potent grimoire for self-empowerment and transgression, delving into the forbidden currents of dark antinomian spirituality.</t>
  </si>
  <si>
    <t>Explore forbidden gnosis. Luciferian Tantra &amp; Sex Magick guides you to unlock inner power and manifest will through potent rituals. Master self-deification and profound spiritual transformation.</t>
  </si>
  <si>
    <t>Frances Yates brilliantly charts the Hermetic current's Renaissance resurgence through Warburg Institute documents. Uncover its hidden influence on philosophy, art, and the very fabric of thought.</t>
  </si>
  <si>
    <t>Unlock the potent secrets of ceremonial magic. Francis King's 'Technics of High Magic' offers a deep dive into Qabalah, alchemy, and ritual practice, illuminating the Western esoteric path.</t>
  </si>
  <si>
    <t>Discover the esoteric depths of your being. Franklin Ugas's "Psycho Astrology or Astroteurgy" reveals the psychological insights and operative power of the stars to master your destiny.</t>
  </si>
  <si>
    <t>Descubre los principios maestros de la Geomancia Astrológica con Franz Hartmann. Un saber oculto que une tierra y estrellas para descifrar tu destino y el cosmos.</t>
  </si>
  <si>
    <t>Frater Malak's Mystic Grimoire: Unleash mighty spells and powerful rituals. Master ancient secrets, manifest your will, and transform your reality. A practical guide to true esoteric power.</t>
  </si>
  <si>
    <t>Unleash your will! Frater Motivation's guide empowers you to manifest reality by consciously directing the potent forces found at the very edge of chaos. Shape your destiny.</t>
  </si>
  <si>
    <t>Freke y Gandy en "Los Misterios De Jesus" revelan una visión esotérica. Descubre las raíces paganas y gnósticas de la figura de Jesús, desafiando dogmas y ofreciendo una reinterpretación mística que cambiará tu percepción.</t>
  </si>
  <si>
    <t>G. de Purucker's Occult Glossary: Unlock the language of the arcane. This concise guide defines key esoteric terms and concepts, illuminating the complex world of hidden wisdom and spiritual philosophy. Essential for every seeker.</t>
  </si>
  <si>
    <t>Ganas's "Hooligans of Heaven" invites you to shatter celestial norms. Dive into radical occultism, reclaim forbidden power, and forge your own defiant path beyond the divine.</t>
  </si>
  <si>
    <t>'Secretos En La Luna' de Jose Garcia Bautista. Desvela la magia oculta, ritos ancestrales y el poder místico lunar. Un viaje esotérico para despertar tu interior y comprender las verdades celestiales.</t>
  </si>
  <si>
    <t>Cruza el velo con 'Historias Del Otro Lado'. Un fascinante viaje al corazón de lo esotérico, revelando secretos ocultos y encuentros con lo inexplicable. ¿Te atreves a conocer la verdad que se esconde más allá?</t>
  </si>
  <si>
    <t>Garcia Bautista M. desvela 'El Misterio De La Sabana Santa'. Sumérgete en un análisis esotérico que trasciende ciencia y fe. Secretos ancestrales y verdades ocultas de la reliquia más enigmática aguardan tu descubrimiento. ¿Listo para la revelación?</t>
  </si>
  <si>
    <t>Garcia Castrillo Jesus desvela 'El Enigma De Baphomet'. Descubre la verdad tras el icono templario: su simbolismo esotérico y los secretos que la historia oficial se atrevió a ocultar. Una revelación.</t>
  </si>
  <si>
    <t>Maximiliano García Cordero desvela las conexiones secretas entre la Biblia y las tradiciones místicas del Antiguo Oriente. Explora un legado oculto que redefinirá tu comprensión de la fe y el saber ancestral.</t>
  </si>
  <si>
    <t>Gardner's 'Witchcraft Today': Unveiling a hidden world, this seminal text revealed ancient witch cults still thrive. A foundational read for modern paganism, it sparked a spiritual awakening and redefined the Craft.</t>
  </si>
  <si>
    <t>Gary Greenberg desentraña 101 mitos bíblicos. Una visión esotérica que cuestiona dogmas y revela las historias ocultas de la Biblia. Prepárate para verla diferente.</t>
  </si>
  <si>
    <t>Dive into Georg Luck's Arcana Mundi for a scholarly yet spellbinding journey through the magic and occult sciences of ancient Greece and Rome. Uncover forgotten rituals and esoteric beliefs of antiquity.</t>
  </si>
  <si>
    <t>Dive into a world where forbidden knowledge is the ultimate weapon. Orwell's 1984 unveils the secret society that bends reality and consciousness, revealing the dark arts of total societal control.</t>
  </si>
  <si>
    <t>Unlock the power of dowsing with Gerula Luis's 'Radiestesia Integral'. Explore subtle energies, find answers, and enhance your intuition. A complete guide to mastering this ancient art for modern spiritual seekers.</t>
  </si>
  <si>
    <t>Uncover Giordano Bruno's cosmic vision in "Cause, Principle and Unity - And Essays on Magic." Explore the fundamental truths of existence, the interconnectedness of reality, and the profound philosophy behind magic.</t>
  </si>
  <si>
    <t>Goodrick-Clarke's groundbreaking study exposes the esoteric doctrines and secret societies that profoundly shaped early Nazi ideology. A chilling dive into the dark mystical roots of the Third Reich's destructive power.</t>
  </si>
  <si>
    <t>"Against the Light" by Grant: A potent occult text challenging spiritual dogmas. Plunge into forbidden wisdom, confront shadows, and navigate hidden currents of consciousness.</t>
  </si>
  <si>
    <t>Gamaliel: The Diary of a Vampire by Grant. Delve into a forbidden journal of ancient gnosis, dark rites, and the true, chilling nature of immortal existence. Occult revelation awaits.</t>
  </si>
  <si>
    <t>Grant's Hecate's Fountain: Plunge into the Typhonian depths. This potent grimoire channels Hecate's primal currents, unveiling chthonic magic and unlocking profound occult power for the dedicated practitioner. A unique esoteric journey.</t>
  </si>
  <si>
    <t>Grant's 'Magical Revival' ignites the depths of modern occultism. Explore the potent links between Crowley, Spare, and Lovecraft, delving into Typhonian magick, the Nightside, and cosmic awakenings. A transformative esoteric journey.</t>
  </si>
  <si>
    <t>Outer Gateways by Grant: Traverse forbidden thresholds into cosmic realms. Unearth profound, radical occult mysteries beyond human comprehension, exploring the Typhonian current and other-dimensional intelligences. A truly mind-expanding journey.</t>
  </si>
  <si>
    <t>Grant Morrison's Pop Magic: A modern grimoire. Harness pop culture and chaos magic to reshape reality. Practical spells for the plugged-in occultist. Transform your world.</t>
  </si>
  <si>
    <t>Gray's 'Inner Western Way' offers a compelling outlook on Western esotericism. Explore ancient occult traditions, unveil hidden knowledge, and embark on a profound journey of self-discovery within.</t>
  </si>
  <si>
    <t>Gray's "Inner Traditions of Magic" reveals the profound, practical core of Western esotericism. A guide to ritual, Kabbalah, and genuine magical work for serious seekers.</t>
  </si>
  <si>
    <t>Gray's "Ladder of Lights" guides seekers through Qabalistic mysteries. Climb the Tree of Life to illuminate your consciousness and master esoteric forces for spiritual awakening.</t>
  </si>
  <si>
    <t>Gray's Language Of The Gods unveils the sacred grammar of the cosmos. Decode ancient symbols, divine messages, and the secret keys to spiritual enlightenment. Your guide to forbidden wisdom.</t>
  </si>
  <si>
    <t>Unlock the secrets of practical magic. Gray's 'Magical Ritual Methods' offers clear, potent techniques for effective occult rituals. Empower your spiritual journey and manifest your will with this essential guide.</t>
  </si>
  <si>
    <t>Unveil the mysteries of Kabbalah with Gray's Qabalistic Concepts. A profound guide to the Tree of Life, esoteric wisdom, and occult principles for spiritual growth and cosmic understanding.</t>
  </si>
  <si>
    <t>Gray's "Temple Magic" illuminates the ancient art of ritual. Master sacred space to unlock profound power, manifest desires, and transform your reality. A potent guide to practical occultism.</t>
  </si>
  <si>
    <t>Gray's "The Rollright Ritual": Decode the ancient mysteries of the Rollright Stones. Uncover potent occult rites and the deep esoteric energies that pulse from this sacred landscape.</t>
  </si>
  <si>
    <t>Gray's 'Tree Of Evil' reveals the darkest branches of occult knowledge. Journey through forbidden lore, unravel ancient curses, and grasp the sinister truths hidden within the esoteric shadows. Prepare to awaken.</t>
  </si>
  <si>
    <t>Brian Greene te abre los ojos a 'La realidad oculta'. Un viaje esotérico que desvela misterios ancestrales y expande tu conciencia más allá de lo visible.</t>
  </si>
  <si>
    <t>John Michael Greer unlocks the profound wisdom of the Corpus Hermeticum. Dive into this essential guide to ancient Hermetic philosophy, cosmology, and the spiritual path. A clear, insightful exploration of a foundational text for all seekers of esoteric knowledge.</t>
  </si>
  <si>
    <t>Gregorio Gonzalez Jose desentraña en "Las Reliquias De Hitler" el oscuro nexo entre el Tercer Reich y el ocultismo. Descubre los artefactos esotéricos que los nazis codiciaron y el poder místico que buscaban para forjar su imperio. Un viaje a lo prohibido.</t>
  </si>
  <si>
    <t>Guenon R une el Santo Grial y el Sagrado Corazón en una profunda lectura esotérica. Desvela los misterios de la tradición, revelando conexiones simbólicas ocultas tras las leyendas.</t>
  </si>
  <si>
    <t>Guenon desvela el alma secreta de la obra de Dante, revelando sus claves iniciáticas y la tradición esotérica oculta tras la genialidad poética. Un texto esencial para desentrañar misterios.</t>
  </si>
  <si>
    <t>Guido Von List te guía a "El secreto de las Runas". Desvela la sabiduría ancestral, los arcanos del misticismo nórdico y el poder oculto de estos símbolos para tu destino.</t>
  </si>
  <si>
    <t>Guirand Felix's 'Mitologia General': A master key to the hidden realms of ancient myth. Unearth the esoteric knowledge and spiritual truths woven into the fabric of timeless legends. Essential for seekers.</t>
  </si>
  <si>
    <t>Guitton te invita a desentrañar "Lo Absurdo Y El Misterio". Un viaje fascinante donde la razón choca con lo inexplicable, revelando verdades ocultas más allá de nuestra comprensión. Prepárate para expandir tu mente.</t>
  </si>
  <si>
    <t>Gurdjieff's 'Knight of the Supremacy of the Will' guides your quest for ultimate self-mastery. Forge an unyielding conscious will, transcend mechanical existence, and awaken your true inner authority. A profound esoteric challenge to become the master of your own destiny.</t>
  </si>
  <si>
    <t>Dive into Gurdjieff's "Work": an esoteric journey of self-discovery. Master self-observation, awaken your consciousness, and transform your inner world. A practical, challenging path for profound personal evolution.</t>
  </si>
  <si>
    <t>Harun Yahya unveils the shocking connection between Darwinian principles and fascism's brutal reign. Discover the hidden roots of a bloody ideology that justified humanity's darkest acts. A provocative exposé.</t>
  </si>
  <si>
    <t>Unlock the profound mysteries of the Quran. Harun Yahya's book illuminates its hidden spiritual insights and scientific marvels, guiding you to a deeper understanding of its divine message.</t>
  </si>
  <si>
    <t>Explore the profound spiritual battle for humanity's future in Harun Yahya's 'The Alliance of The Good.' Discover a powerful vision for moral awakening and cosmic unity to overcome darkness.</t>
  </si>
  <si>
    <t>Unveil profound truths of your final destiny. Harun Yahya's 'The Day of Judgment' is an urgent, compelling call to spiritual reflection and preparation for ultimate divine reckoning.</t>
  </si>
  <si>
    <t>Harun Yahya presents Prophet Muhammad's miraculous life. Delve into the divine signs and timeless spiritual wisdom that forever changed the course of humanity.</t>
  </si>
  <si>
    <t>¿Listo para la verdad? Hatem Frank te entrega el manual definitivo: descubre cómo los Reptilianos y la élite Illuminati manejan el mundo. Conoce la gestión secreta del poder.</t>
  </si>
  <si>
    <t>Hawkins d's 'Elemental Chaos' reveals how to command primordial forces. Master the elements, transcend chaos, and unlock potent occult secrets to reshape your spiritual destiny.</t>
  </si>
  <si>
    <t>Heindel's "Christianity" uncovers the hidden, esoteric path within faith. Discover Rosicrucian insights into spiritual evolution, Christ's true mission, and the mystic wisdom beyond dogma. A profound journey for the seeker of deeper spiritual truths.</t>
  </si>
  <si>
    <t>El "Cuerpo de Deseos" de Heindel desvela cómo anhelos, pasiones y emociones moldean tu realidad. Descubre el poder oculto de tus impulsos y aprende a dirigirlos hacia la evolución consciente. Clave para el autoconocimiento esotérico.</t>
  </si>
  <si>
    <t>Unveil cosmic secrets with Heindel's Doctrina Secreta. A profound exploration of spiritual science, human evolution, and the invisible realms. Discover ancient wisdom guiding destiny.</t>
  </si>
  <si>
    <t>Heindel desvela 'El cuerpo vital', tu doble etérico y fuente de vida. Explora esta energía sutil que conecta lo físico y espiritual, clave para la salud y el despertar de la conciencia.</t>
  </si>
  <si>
    <t>Sumérgete en la sabiduría oculta de Heindel. "Enseñanzas de un iniciado" desvela los misterios del cosmos y el ser, una guía esencial para tu despertar espiritual y evolución consciente.</t>
  </si>
  <si>
    <t>Explora los secretos de la iniciación espiritual a través del tiempo. Heindel desvela el camino hacia el despertar interior y la sabiduría oculta. Un faro para el buscador de la verdad.</t>
  </si>
  <si>
    <t>Max Heindel's Rosicrucian Philosophy: Unveils cosmic laws, spiritual evolution, and humanity's hidden purpose. A profound guide to esoteric wisdom for seekers of truth.</t>
  </si>
  <si>
    <t>Heindel M. desvela en 'Masonería y Catolicismo' la perspectiva esotérica sobre las doctrinas y simbolismos de dos instituciones milenarias. ¿Coinciden sus secretos o se oponen irreconciliablemente? Un análisis profundo de su relación.</t>
  </si>
  <si>
    <t>Max Heindel desvela Los Misterios Rosacruces. Adéntrate en la sabiduría esotérica sobre el cosmos, la evolución del alma y el propósito divino. Una guía esencial para el buscador espiritual.</t>
  </si>
  <si>
    <t>Helen Blavatsky's 'The Secret Doctrine' deciphers cosmic evolution, humanity's hidden history, and universal laws. A profound synthesis of ancient wisdom, science, and religion. Mind-expanding.</t>
  </si>
  <si>
    <t>Blavatsky's 'Anthropogenesis': Unveils humanity's hidden cosmic evolution. A deep dive into root races, spiritual development, and the occult secrets of mankind's true origins and destiny.</t>
  </si>
  <si>
    <t>Blavatsky's Cosmogenesis: A profound dive into the universe's secret origins. Uncover ancient wisdom on cosmic evolution, humanity's spiritual path, and the hidden laws of existence. Essential occult insight.</t>
  </si>
  <si>
    <t>Helena Blavatsky's "Isis Unveiled Vol I" unearths ancient mysteries. Explore hidden truths of occult science, religion, and the spiritual world. A monumental work challenging conventional history and inspiring esoteric thought.</t>
  </si>
  <si>
    <t>Helena Blavatsky's "Nightmare Tales": Dive into a world of unsettling occult visions and spiritual turmoil. These dark narratives unveil esoteric truths through chilling dread.</t>
  </si>
  <si>
    <t>Helena Blavatsky's "Occultism" invites you to journey beyond the visible. Discover the profound esoteric principles, spiritual laws, and hidden wisdom guiding the universe. Essential insights for those seeking deeper truths and self-mastery.</t>
  </si>
  <si>
    <t>Dive into Helena Blavatsky's foundational "Studies in Occultism." A powerful collection revealing esoteric principles, the nature of magic, spiritual development, and humanity's secret history. Essential reading for awakening minds.</t>
  </si>
  <si>
    <t>Helena Blavatsky's essential Q&amp;A guide to Theosophy. Explore its core principles: universal brotherhood, karma, reincarnation, and spiritual evolution. Demystifies ancient wisdom for modern minds seeking profound truths.</t>
  </si>
  <si>
    <t>Helmont's "Alchemy Unveiled" deciphers ancient alchemy. Uncover the spiritual &amp; material secrets of transformation, from philosopher's stone to inner wisdom. Essential for seekers of hidden knowledge.</t>
  </si>
  <si>
    <t>Agrippa's foundational 1st Book of Occult Philosophy unveils Natural Magic. Discover how celestial and elemental forces empower the world, revealing nature's hidden powers. Essential Renaissance wisdom.</t>
  </si>
  <si>
    <t>Agrippa's 3rd Book of Occult Philosophy: Dive into ceremonial magic, angelic invocation, and divine secrets. Master spiritual forces and unlock celestial power with this essential grimoire.</t>
  </si>
  <si>
    <t>Unlock your inner power with Henry Leo Bolduc's 'Auto Hipnosis'. This guide helps you master self-hypnosis to tap into your subconscious, achieve goals, and reshape your reality. Discover profound self-control and personal transformation for a life of purpose.</t>
  </si>
  <si>
    <t>Discover your inner power with Henry Leo Bolduc's "Auto-Hypnosis." Learn to master your mind, reprogram beliefs, and manifest your deepest aspirations through self-hypnosis. Unlock profound personal transformation.</t>
  </si>
  <si>
    <t>Redgrove's 'Alchemy Ancient and Modern' unveils the mystic art. Dive into its rich history, intricate symbolism, and profound philosophical depths. A timeless guide to the transformative science of old.</t>
  </si>
  <si>
    <t>Unlock cosmic truths with Hermes's Emerald Tablet. This foundational occult text reveals the ultimate principle: "as above, so below." A timeless guide to spiritual and alchemical mastery.</t>
  </si>
  <si>
    <t>Unearth ancient wisdom. Hermes Trismegistus's Hermetic Texts unveil cosmic secrets, divine truths, and paths to spiritual gnosis. A timeless journey into esoteric enlightenment.</t>
  </si>
  <si>
    <t>Journey into the heart of ancient wisdom. Hermes Trismegistus's Hermetic Texts unveil cosmic secrets, divine knowledge, and the path to spiritual enlightenment. Essential reading for seekers of truth.</t>
  </si>
  <si>
    <t>Hermes Trismegistus's Golden Tractate: Unlock ancient alchemy &amp; spiritual transformation. Delve into the secrets of the Philosopher's Stone, transmuting self and reality. Profound esoteric wisdom.</t>
  </si>
  <si>
    <t>Unlock your cosmic blueprint! Hiram E. Butler's 'Solar Biology' reveals how planetary influences at birth shape your physical, mental, and spiritual self. A unique guide to self-discovery and destiny through the stars.</t>
  </si>
  <si>
    <t>Explore Hitler's 'New World Order,' an esoteric blueprint for a radically restructured world. Uncover his controversial vision of hidden knowledge, ultimate control, and humanity's mystical destiny.</t>
  </si>
  <si>
    <t>Huber te invita a "Astrología de la Figura de Aspectos". Descifra los patrones que forman tus aspectos natales y desvela claves profundas de tu psique. Una herramienta esencial para el autoconocimiento y activar tu potencial único.</t>
  </si>
  <si>
    <t>Iamblichus desvela 'De Mysteriis Aegyptiorum'. Una clave neoplatónica para la teurgia, los ritos sagrados y la conexión con lo divino. Este clásico explora la sabiduría ancestral egipcia, revelando los mecanismos ocultos para unificar el alma humana con los poderes celestiales.</t>
  </si>
  <si>
    <t>Dive into Moshe Idel's "Kabbalah: New Perspectives." This groundbreaking work unveils the mystical heart of Jewish esotericism, offering fresh insights into ancient wisdom, diverse traditions, and profound spiritual experiences. A must for seekers.</t>
  </si>
  <si>
    <t>Iker Jimenez deciphers The Da Vinci Code's mysteries. Uncover hidden symbols, secret societies, and ancient enigmas in this essential guide to arcane knowledge beyond the bestseller.</t>
  </si>
  <si>
    <t>Unlock ancient mysteries! Inman's 'Ancient Faiths Embodied in Ancient Names' delves into the sacred symbolism and forgotten wisdom embedded within historical names, uncovering the core beliefs of vanished cultures. A profound journey into occult etymology.</t>
  </si>
  <si>
    <t>Iolair Faol desvela la Espiritualidad y Teología Druídica. Sumérgete en la sabiduría celta ancestral, su misticismo profundo y el sagrado lazo con la naturaleza. ¡Descubre tu senda oculta!</t>
  </si>
  <si>
    <t>Iolair Faol's 'Sobre Iniciaciones Druidicas': Delve into ancient Druidic initiations. Uncover mystic rites, spiritual transformation, and the profound wisdom of Celtic esotericism.</t>
  </si>
  <si>
    <t>Descifra los secretos ancestrales. Isabel Trinidad Lafuente te ofrece un Tesauro y Diccionario para explorar objetos clave en ritos, cultos y creencias. Tu guía esencial al universo esotérico y ocultista.</t>
  </si>
  <si>
    <t>Israel Regardie's 'Art &amp; Meaning of Magic' illuminates the profound philosophy and practical application of occult principles. Discover the true artistry and purpose behind Western esoteric practice.</t>
  </si>
  <si>
    <t>Dive deep into the Golden Dawn with Regardie's definitive guide. Explore its intricate magical system, rituals, and profound esoteric wisdom. A cornerstone text for mastering Western ceremonial magic.</t>
  </si>
  <si>
    <t>Master your spiritual energy. Regardie's "The Middle Pillar" provides the vital Qabalistic ritual for psychic balance, vitality, and inner power. A cornerstone of Western esotericism.</t>
  </si>
  <si>
    <t>Dive into Regardie's "The Tree of Life": a foundational text for ceremonial magic and Qabalah. Explore profound occult principles and practical techniques for spiritual mastery.</t>
  </si>
  <si>
    <t>J Farmer's 'Twixt Two Worlds' invites you to cross the threshold. Discover the hidden forces and profound secrets that lie between the material and spiritual planes. A journey into occult wisdom and unseen realities.</t>
  </si>
  <si>
    <t>J.F.C. Fuller unveils the profound secrets of the Qabalah. Explore its ancient wisdom, cosmic architecture, and potent symbolism, unlocking keys to spiritual insight and esoteric power.</t>
  </si>
  <si>
    <t>Jacques Sadoul te invita a "El Gran Arte De La Alquimia". Desvela los secretos de la transmutación, la piedra filosofal y la sabiduría oculta. Un viaje esencial al corazón de la ciencia hermética.</t>
  </si>
  <si>
    <t>Werner Jaeger desvela la conexión oculta entre la Paideia Griega y el Cristianismo Primitivo. Un viaje intelectual que revela cómo la sabiduría antigua moldeó la fe naciente de Occidente.</t>
  </si>
  <si>
    <t>Jámblico desvela los velos de los Misterios Egipcios. Un viaje ancestral a la teúrgia, los ritos divinos y la sabiduría oculta que unía a los hombres con los dioses. Clave para entender la magia y el neoplatonismo.</t>
  </si>
  <si>
    <t>James Allen unveils the spiritual alchemy of thought: your mind shapes your destiny. Discover the occult power within to manifest the reality you truly desire.</t>
  </si>
  <si>
    <t>Jan Fries' Seidways: Unlock the secrets of Norse seidr. A dynamic guide to ecstatic trance, soul flight, and practical spirit work. Journey through altered states to rediscover ancient power and visionary wisdom.</t>
  </si>
  <si>
    <t>Jan Van Helsing desvela el poder real de las Sociedades Secretas en el siglo XX. Descubre cómo élites ocultas manipularon eventos y controlaron la historia desde la sombra.</t>
  </si>
  <si>
    <t>"The New Hermetics" offers 21st-century magick for profound illumination and personal power. Jason Augustus Newcomb's guide to modern esoteric transformation.</t>
  </si>
  <si>
    <t>Unlock real-world magick with Jason Miller's 'The Sorcerer's Secrets.' Practical strategies for effective sorcery, bridging ancient wisdom with modern application to get results.</t>
  </si>
  <si>
    <t>Desvela el poder oculto de los números. Javane Faith te entrega la clave para comprender tu destino y personalidad, revelando la energía secreta detrás de cada cifra de tu vida.</t>
  </si>
  <si>
    <t>Jean-Paul Corsetti desvela la milenaria historia del esoterismo y las ciencias ocultas. Un viaje esclarecedor por sus doctrinas secretas, orígenes y figuras legendarias. Imprescindible.</t>
  </si>
  <si>
    <t>Jim Marrs en "Las Sociedades Secretas" desvela la élite que controla el poder global. ¿Quiénes mueven los hilos desde la sombra? Un impactante recorrido por las organizaciones que han moldeado y manipulan nuestra historia. Descubre la verdad oculta.</t>
  </si>
  <si>
    <t>Fernando Jiménez del Oso te invita a "En Busca Del Misterio". Explora fenómenos paranormales, enigmas históricos y secretos ocultos que desafían la ciencia. Un viaje esencial para desvelar lo inexplicable y cuestionar tu realidad.</t>
  </si>
  <si>
    <t>Iker Jimenez's 'Unsolved Enigmas': A captivating journey into the unknown. Delve into ancient mysteries, paranormal events, and the esoteric secrets that defy explanation. Prepare for a mind-bending exploration of reality's hidden depths.</t>
  </si>
  <si>
    <t>Jimenez San Cristobal guides you through 'Rituales Orficos'. Unlock ancient Greek mystic practices for spiritual enlightenment and self-transformation. Discover forgotten wisdom.</t>
  </si>
  <si>
    <t>Descubre con Jinarajadasa el arte de recordar tus vidas pasadas. Un viaje esotérico a la memoria del alma para comprender tu ser y destino. Claves para la autoconsciencia.</t>
  </si>
  <si>
    <t>Master the lost art of true personal invisibility with JJ Luna. This guide reveals the hidden wisdom to vanish from the watchful eye and reclaim your ultimate freedom.</t>
  </si>
  <si>
    <t>Joachim Jeremias: "La Última Cena: Palabras de Jesús". Desvela el mensaje oculto tras cada palabra. Una profunda inmersión en la esencia esotérica y transformadora de las enseñanzas de Cristo.</t>
  </si>
  <si>
    <t>Jochen Gartz's "Magic Mushrooms Around the World" reveals the hidden history, spiritual significance, and global impact of psychoactive fungi. A must-read journey into their ancient secrets.</t>
  </si>
  <si>
    <t>Joel Biroco's 'Kaos' shatters conventional magic, offering a raw, potent guide to chaos sorcery and reality hacking. Uncover radical insights for practical occultists and intrepid minds.</t>
  </si>
  <si>
    <t>'The Black Raven' by Johannes Faust: A grimoire of immense forbidden power. Delve into ancient pacts, infernal rituals, and the secrets to commanding spirits. Unlock true occult mastery.</t>
  </si>
  <si>
    <t>Johannes Kepler, renowned astronomer, delves into astrology's core. Discover his quest for the "more certain fundamentals" of cosmic influence, applying scientific rigor to an ancient art.</t>
  </si>
  <si>
    <t>Delve into John Dee's Fell Smith, a potent grimoire of forbidden wisdom. Unlock the mysteries of creation, commune with unseen forces, and master the arcane arts with this rare occult masterpiece.</t>
  </si>
  <si>
    <t>John Dee's Liber Tertius: A gateway to angelic magic and profound occult power. Unravel forgotten divine mysteries and master the secrets of celestial communication with England's legendary magus.</t>
  </si>
  <si>
    <t>Mysteriorum by John Dee: Uncover the Elizabethan magus's direct accounts of angelic communication. Explore celestial magic, ancient wisdom, and the occult pursuit of divine knowledge.</t>
  </si>
  <si>
    <t>Unlock the universe's profound mysteries with John Dee's 'Rosiecrucian Secrets.' Delve into hidden knowledge, mystical wisdom, and ancient occult truths for spiritual transformation and power.</t>
  </si>
  <si>
    <t>John F. McManus's 'The Insiders' reveals the true masters behind the veil. Explore the secret societies and occult knowledge that silently dictate our world. The truth is stranger than you can imagine.</t>
  </si>
  <si>
    <t>Explore the secret history of esoteric traditions. John Yarker's 'The Arcane Schools' unveils the profound connections between ancient mysteries, Gnosticism, Kabbalah, and global secret societies. A classic occult study.</t>
  </si>
  <si>
    <t>La Religión Gnóstica de Jonas Hans: Sumérgete en una sabiduría ancestral que desvela los misterios del conocimiento interior. Un viaje esencial para comprender la gnosis, la dualidad y la búsqueda de la verdad que libera el espíritu.</t>
  </si>
  <si>
    <t>El manual definitivo para el mago practicante. Lisiewski desvela la Cábala como un sistema mágico operativo, con técnicas y rituales para manifestar tu voluntad. ¡Activa tu poder interior!</t>
  </si>
  <si>
    <t>Joshua Wetzel's "The Paradigmal Pirate" invites you to plunder reality itself. Navigate esoteric waters, hijack limiting beliefs, and forge your own path through the hidden truths of consciousness. An occult adventure.</t>
  </si>
  <si>
    <t>Cirlot te abre las puertas al universo de los símbolos. Este diccionario es tu clave para desentrañar significados ocultos, arquetipos y el lenguaje secreto que nos rodea. Imprescindible.</t>
  </si>
  <si>
    <t>Julio Trebolle Barrera ilumina los velos de la Biblia, revelando sus conexiones ocultas con el Antiguo Oriente. Sumérgete en un estudio que desentraña misterios ancestrales y la sabiduría esotérica que forjó sus textos.</t>
  </si>
  <si>
    <t>K. Amber's 'The Basics of Magick' demystifies the occult. Discover fundamental principles, practical techniques, and ethical considerations to begin your magical journey. Your essential guide to understanding the unseen arts.</t>
  </si>
  <si>
    <t>El Evangelio explicado por Allan Kardec a través del espiritismo. Descubre las profundas enseñanzas morales de Jesús, la caridad, la reencarnación y el destino del alma en una guía esencial para tu evolución espiritual.</t>
  </si>
  <si>
    <t>Descubre los secretos de la mediumnidad con Allan Kardec. Esta guía esencial revela cómo funciona la comunicación con espíritus, los tipos de médiums y los misterios del mundo invisible. Un viaje indispensable al fenómeno espiritual.</t>
  </si>
  <si>
    <t>Unlock universal energy with Karl Hans Welz's Cosmic Consciousness Course. This guide empowers you to achieve higher awareness, master manifestation, and connect with your true potential. A direct path to expanded consciousness and self-realization.</t>
  </si>
  <si>
    <t>Delve into the comprehensive world of Solomonic Magick with Don Karr's study. Uncover its history, theory, and practical applications in this essential guide to ancient occult practices.</t>
  </si>
  <si>
    <t>Unravel the secret hierarchies of occult societies. Kate Hoolu reveals the hidden grades and their significance in this essential guide to esoteric progression.</t>
  </si>
  <si>
    <t>Kate Hoolu's "How is a secret society constructed" dissects the very architecture of secret societies. Discover the esoteric principles, recruitment tactics, and hidden power dynamics that build these clandestine groups. Unveil their guarded secrets.</t>
  </si>
  <si>
    <t>Katherine Howe desentierra en "El libro de las brujas" un linaje de poder oculto. El legado ancestral de la brujería resurge, conectando el pasado con un presente donde sus secretos aún laten.</t>
  </si>
  <si>
    <t>Uncover the veiled mechanisms of influence. Keith's definitive encyclopedia exposes how mind control shapes individuals and nations, revealing the ultimate power play behind world events. Prepare for awakening.</t>
  </si>
  <si>
    <t>Ken Wilber desvela la alquimia entre psicoterapia y espiritualidad. Una guía integral para explorar la conciencia, sanar el alma y trascender los límites del yo en tu evolución interior.</t>
  </si>
  <si>
    <t>Kennedy James en 'Y Que Si Jesús No Hubiera Nacido' traza una realidad alternativa. ¿Cómo cambiaría la espiritualidad y la historia sin su figura central? Un viaje provocador para explorar lo desconocido.</t>
  </si>
  <si>
    <t>Kenneth Grant's 'Against The Light': Explore the abyss of the Typhonian current. Delve into Qliphothic realms, cosmic horror, and alien intelligences beyond the Outer Gates, challenging the very fabric of reality.</t>
  </si>
  <si>
    <t>Kenneth Grant's Beyond The Mauve Zone: Dare to journey into hyper-gnostic dimensions. Explore alien currents, dreamscapes &amp; occult realities beyond human perception.</t>
  </si>
  <si>
    <t>Cults Of The Shadow by Kenneth Grant. Delve into Typhonian gnosis, Kali's cosmic currents, and Lovecraftian horrors. Unveil the forbidden Qliphothic Nightside and its unsettling magick.</t>
  </si>
  <si>
    <t>Kenneth Grant's 'Gamaliel The Diary Of A Vampire' plunges into the esoteric depths of vampirism. Explore forbidden currents, consciousness, and the occult shadows that lurk beyond conventional reality. A unique, chilling journey into hidden gnosis.</t>
  </si>
  <si>
    <t>Hecate's Fountain by Kenneth Grant: Delve into the Typhonian gnosis, exploring dreamscapes and subconscious currents that bridge to the Other Side. An essential journey into the chthonic depths of occult consciousness.</t>
  </si>
  <si>
    <t>Delve into forbidden gnosis with Kenneth Grant's "Hidden Lore." Explore the Typhonian current, Lovecraftian cosmic horror, and occult dimensions that twist perception. For the initiated.</t>
  </si>
  <si>
    <t>Kenneth Grant's 'Magical Revival' reveals the hidden, sinister currents of Thelema, linking Crowley, Lovecraft, and the Typhonian gnosis. A key text of the occult.</t>
  </si>
  <si>
    <t>Nightside Of Eden by Kenneth Grant: A profound dive into the Qliphoth and Typhonian current. Explore sinister dimensions, alien intelligences, and forbidden magic beyond the Tree of Life. Unveils cosmic shadow realms.</t>
  </si>
  <si>
    <t>Kenneth Grant's 'Outer Gateways' charts a course beyond human perception. Encounter alien intelligences, explore trans-dimensional currents, and unlock forgotten cosmic gnosis. A transformative journey into the esoteric heart of the Typhonian tradition.</t>
  </si>
  <si>
    <t>Kenneth Grant's Sorceries of Zos fuses Spare's body-magic with Typhonian gnosis. Explore dream sorcery, sigils, and access alien consciousness through the flesh. A potent guide to unlocking reality's hidden currents for daring occultists.</t>
  </si>
  <si>
    <t>Kenneth Grant's 'The Ninth Arch' unveils profound occult gnosis. Explore dreamscapes, hidden intelligences, and the furthest reaches of consciousness in the Typhonian current.</t>
  </si>
  <si>
    <t>Kenneth Grant's 'Outside The Circles of Time' plunges into Lovecraftian cosmic horror, alien intelligences, and trans-dimensional occultism. Unveil gateways to realities beyond linear time and conventional consciousness.</t>
  </si>
  <si>
    <t>Kenrick Cleveland's Magical Objection Mastery grants you the esoteric power to effortlessly dissolve any resistance. Learn hidden techniques to transform "no" into absolute compliance. Master the subtle art of ultimate influence and command attention.</t>
  </si>
  <si>
    <t>Dive deep into Kerenyi's Eleusis and uncover the ancient Greek Mysteries. A scholarly yet evocative exploration of initiation, death, and rebirth at Eleusis, revealing the profound spiritual journey that shaped antiquity.</t>
  </si>
  <si>
    <t>Kettunen Harri desvela el código de los jeroglíficos mayas. Una puerta a la sabiduría ancestral y los misterios ocultos de una civilización milenaria. ¡Descifra su legado espiritual!</t>
  </si>
  <si>
    <t>Kevin Trudeau exposes the powerful natural cures "they" don't want you to know. This book reveals the hidden health secrets big pharma and the establishment suppress, empowering you to reclaim your well-being naturally.</t>
  </si>
  <si>
    <t>Descubre los saberes ocultos en 'Los Rituales Secretos Del Oto' de King Francis. Desvela prácticas ancestrales para despertar tu poder interior y transformar tu realidad. Un viaje esotérico que cambiará tu percepción del mundo.</t>
  </si>
  <si>
    <t>Francis King's "The Secret Rituals O.T.O." lifts the veil on the enigmatic rites and arcane practices of the Ordo Templi Orientis. A fascinating journey into hidden occult traditions.</t>
  </si>
  <si>
    <t>Francis King unearths the hidden ceremonies of the O.T.O. Explore the secret rituals and arcane practices of this powerful esoteric order. A revealing dive into occult history.</t>
  </si>
  <si>
    <t>Kingsland William desvela la verdadera esencia de Blavatsky. Un viaje íntimo a la vida y obra de la enigmática figura que redefinió el esoterismo. Imprescindible para entender su legado sin mitos.</t>
  </si>
  <si>
    <t>Explora con Peter Kingsley la profunda conexión entre Filosofía Antigua, Misterios y Magia. Un viaje fascinante al corazón oculto de la sabiduría ancestral, desvelando ritos, poderes esotéricos y conocimientos perdidos.</t>
  </si>
  <si>
    <t>Unravel the universe's secrets with Kircher's 'Artículo.' This occult masterpiece deciphers ancient wisdom, mystical symbols, and the hidden truths governing existence. A profound esoteric guide.</t>
  </si>
  <si>
    <t>Gareth Knight te introduce a la práctica oculta. Con 'Ejercicios y Prácticas Ocultas', explora métodos para despertar tu conciencia y poder interno. Tu guía concisa para el trabajo esotérico personal.</t>
  </si>
  <si>
    <t>Sirona Knight's "Magick in the virtual world" bridges ancient occult practices with digital realms. Learn to cast spells, perform rituals, and harness power online. A must-read for the modern mystic.</t>
  </si>
  <si>
    <t>Knud Rasmussen's Thule Expedition: Plunge into the Arctic's mysteries. Discover ancient Inuit wisdom, myths, and the profound spiritual bond with a frozen world. An epic quest into the unknown.</t>
  </si>
  <si>
    <t>Koenig's 'Ordo Templi Orientis' decrypts the complex history, secret rites, and gnostic philosophies of this pivotal occult order. Essential reading for unlocking the mysteries of the O.T.O.'s profound influence.</t>
  </si>
  <si>
    <t>¿Cómo dialoga Cristo con el alma de los pueblos? König desentraña las misteriosas convergencias entre la fe y las religiones culturales. Un estudio esotérico que revela la presencia divina en toda tradición.</t>
  </si>
  <si>
    <t>J. Krishnamurti, en 'Esencia de las Enseñanzas', revela el corazón de su sabiduría. Un llamado a la autoindagación radical para liberar la mente y descubrir la verdad. Profundo y esencial.</t>
  </si>
  <si>
    <t>Escape De La Caldera de Kristine McGuire: Desvela los secretos para liberarte de las cadenas invisibles. Un viaje ocultista hacia tu verdadera libertad espiritual y poder interior.</t>
  </si>
  <si>
    <t>Unlock ancient Nordic secrets with Krumm's 'Curso Rúnico'. Master rune divination for guidance &amp; self-empowerment. Your mystical journey into sacred symbols begins here.</t>
  </si>
  <si>
    <t>Unlock the ancient power of Siegfried Arnold Kummer's 'Runas'. Explore the mystical Armanen rune secrets, Germanic spiritual magic, and destiny. A profound guide to esoteric wisdom and self-transformation.</t>
  </si>
  <si>
    <t>Kuper Adam desvela en "El Primate Elegido" el enigma de la existencia humana. Este libro ocultista explora nuestra conexión cósmica y el destino secreto que aguarda a la especie elegida.</t>
  </si>
  <si>
    <t>¿Y si la realidad fuera diferente? Pauwels y Bergier te invitan a 'La Rebelión De Los Brujos', un explosivo viaje por lo oculto, la ciencia secreta y el conocimiento prohibido. Prepárate para ver el mundo con otros ojos.</t>
  </si>
  <si>
    <t>Dare to explore what lies beyond normal perception. L.M. Bazett's 'Beyond the Five Senses' unlocks the secrets of psychic phenomena and human potential, guiding you into the compelling world of the esoteric.</t>
  </si>
  <si>
    <t>Lansdowne desvela las Clavículas de Salomón: el legendario grimorio que revela los secretos para invocar y controlar entidades espirituales. Un manual milenario de magia ritual, sellos y conjuros. El conocimiento esotérico que buscas.</t>
  </si>
  <si>
    <t>Lavagnini desvela los misterios de la Masonería. Tu manual esencial como Aprendiz para comprender los símbolos y la filosofía oculta de la Orden.</t>
  </si>
  <si>
    <t>Le Plongeon desentierra los Misterios Sagrados. Un viaje arqueológico que conecta civilizaciones ancestrales, desafía la historia conocida y revela el conocimiento oculto que marcó el camino de la humanidad.</t>
  </si>
  <si>
    <t>Leo Ferraro desvela en 'El Último Protocolo' las claves para operar más allá de lo visible. Un mapa esotérico para acceder a verdades y poderes olvidados. Tu conciencia nunca será la misma.</t>
  </si>
  <si>
    <t>Unravel Leonardo's Codice Atlantico. Explore the visionary mind of a genius through his vast collection of drawings, inventions, and profound observations. A secret treasury of knowledge, unlocking the mysteries of art, science, and the human spirit.</t>
  </si>
  <si>
    <t>Levi's 'Elements Of The Qabalah' offers a profound gateway into Kabbalistic mysticism. Uncover ancient symbols, the Tree of Life's hidden secrets, and essential esoteric wisdom for spiritual exploration. A foundational text for seekers of divine knowledge.</t>
  </si>
  <si>
    <t>Eliphas Levi's 'History of Magic' unveils the profound wisdom of the occult. A masterful expedition through ancient rites, forgotten philosophies, and the enduring quest for hidden truths, defining Western esotericism. Essential reading.</t>
  </si>
  <si>
    <t>Levi's Key To The Mysteries unlocks ancient esoteric wisdom. Journey through Kabbalah, magic, and Hermeticism to discover the hidden truths of existence. Essential for spiritual seekers.</t>
  </si>
  <si>
    <t>Eliphas Levi's guide to the Sanctum Regnum. Unlock divine wisdom &amp; inner power through ancient rituals. Transform reality &amp; manifest your will. Essential for the serious occultist.</t>
  </si>
  <si>
    <t>Lewis Ralph te invita a desvelar "El Misterio De Los Numeros". Descubre la sabiduría oculta en cada cifra, su poder cósmico y cómo influyen en tu destino y el universo. Una llave al conocimiento esotérico.</t>
  </si>
  <si>
    <t>Uncover Leland's 'Aradia', the legendary Italian witch gospel. Aradia, divine daughter of Diana and Lucifer, empowers the oppressed with magic and rebellion. A foundational text for modern paganism and Stregheria.</t>
  </si>
  <si>
    <t>Li Hongzhi's Falun Fofa unlocks spiritual cultivation and profound wisdom. Explore universal principles for mind-body refinement through Truthfulness, Compassion, Forbearance. A guide to inner transformation.</t>
  </si>
  <si>
    <t>Liliya-Devala's "Invocation to Our Lady of Midnight": Unveil the shadowed divine feminine and unlock nocturnal mysteries. A potent journey into esoteric wisdom for true occult power.</t>
  </si>
  <si>
    <t>Descubre con Linda Howe la llave para acceder a los Registros Akáshicos. Desvela tu propósito, sana el pasado y transforma tu futuro. Una guía esencial para el autoconocimiento y la sanación profunda.</t>
  </si>
  <si>
    <t>Eismagie by Lodursson &amp; Lucifer: Delve into forbidden ice magic. Unearth primordial power, master ancient chilling rites, and unlock the frozen secrets of the cosmos. A potent guide to occult transformation.</t>
  </si>
  <si>
    <t>Loisy Alfred te sumerge en 'Misterios Paganos'. Desvela ritos ancestrales, simbolismos ocultos y la esencia mística que dio forma a la espiritualidad antigua. Un viaje cautivador al corazón del saber arcano.</t>
  </si>
  <si>
    <t>Lopez de Rojas te invita a desvelar los misterios de Baphomet. Un viaje profundo por el ocultismo, el simbolismo arquetípico y la sabiduría esotérica. ¿Listo para recorrer esta senda iniciática y encontrar el conocimiento oculto que aguarda?</t>
  </si>
  <si>
    <t>Los Milenarios exponen la verdad prohibida: el Vaticano libra una guerra esotérica contra lo divino. Descubre secretos que desafían milenios de fe y poder.</t>
  </si>
  <si>
    <t>Explora la magia y sabiduría ancestral de la brujería moderna. Lucy Summers te revela un camino de empoderamiento, rituales y conexión con la naturaleza. Descubre los secretos ocultos para vivir una vida auténtica y poderosa.</t>
  </si>
  <si>
    <t>Luigi Serafini's Codex Seraphinianus: An unparalleled, illustrated encyclopedia of a surreal alien world. Discover bizarre creatures, fantastical machines, and a captivating, untranslatable script. Pure imaginative genius.</t>
  </si>
  <si>
    <t>Enter the mind-bending world of Luigi Serafini's "Codex Seraphinianus." A lavishly illustrated encyclopedia of an imagined universe, chronicled in a wholly unknown, alien script. A baffling and beautiful enigma.</t>
  </si>
  <si>
    <t>Uncover the hidden wisdom of the Tarot with Mac Gregor Mathers. Dive into its esoteric architecture, linking Kabbalah, astrology, and alchemy. Essential reading for unlocking the deeper magical and mystical significance of each card.</t>
  </si>
  <si>
    <t>Unveil the sacred magic of Abramelin Book 1. Mac Gregor Mathers' translation guides seekers through profound spiritual preparation to attain the Holy Guardian Angel. A cornerstone of ceremonial magic for divine connection.</t>
  </si>
  <si>
    <t>Mathers' Abramelin Book 2: The essential guide to practical sacred magic. Explore talismans, spirit names, and rituals to attain knowledge and conversation of your Holy Guardian Angel. A seminal occult text.</t>
  </si>
  <si>
    <t>Mac Gregor Mathers' Abramelin Book 3 reveals the sacred magic for attaining the Knowledge &amp; Conversation of your Holy Guardian Angel. A profound journey into esoteric ritual.</t>
  </si>
  <si>
    <t>MacGregor Mathers desvela el Grimorio de Armadel. Domina la magia angelical con sigilos e invocaciones para contactar seres celestiales. Accede a sus secretos y poder. Guía esencial para la sabiduría oculta.</t>
  </si>
  <si>
    <t>Descubre la Magia de Abramelin de MacGregor Mathers: el rito milenario para invocar al Ángel Guardián y obtener control sobre las fuerzas invisibles. Un pilar del ocultismo ceremonial.</t>
  </si>
  <si>
    <t>Explore the profound esoteric traditions and hidden lore of ancient Egypt in Mackenzie's "Egyptian Myth and Legend." Uncover the mystical power of gods, pharaohs, and magic. A captivating journey into timeless spiritual wisdom.</t>
  </si>
  <si>
    <t>Dare to awaken the unseen. Mahazhael-Deval presents "Invocation of Our Lord of Midnight," a potent grimoire for communion with the primordial essence of the witching hour. Unlock deep occult secrets.</t>
  </si>
  <si>
    <t>Leyes de los fundamentos de la Torá. Maimónides desvela la estructura cósmica y divina. Explora los principios esenciales que rigen la existencia y la naturaleza de lo Absoluto. Un texto clave para entender la sabiduría oculta del universo.</t>
  </si>
  <si>
    <t>Dive into Manly P. Hall's "Lectures on Ancient Philosophy." He unveils the esoteric heart of Platonic, Gnostic, and Hermetic wisdom. Discover timeless truths and hidden knowledge for spiritual growth and profound understanding. A journey into perennial secrets.</t>
  </si>
  <si>
    <t>Unlock humanity's deepest secrets. Manly P. Hall's essential guide to ancient wisdom deciphers esoteric philosophies, mythologies, and occult traditions across civilizations. A treasure trove for seekers of truth.</t>
  </si>
  <si>
    <t>Manly P. Hall's 'Lost Keys' reveals ancient wisdom and esoteric secrets. Unearth the hidden meanings in symbols and myths to reclaim forgotten spiritual truths and unlock profound knowledge.</t>
  </si>
  <si>
    <t>'The Doorway' by Margaret Vivian invites you to unlock forgotten truths and explore mystical dimensions. A profound journey into the esoteric heart of reality.</t>
  </si>
  <si>
    <t>Dive into Margaret Murray's radical theory: European witchcraft as a surviving ancient fertility cult, worshipping a horned god. A foundational, controversial text that profoundly shaped modern pagan thought and inspired Wicca.</t>
  </si>
  <si>
    <t>Descubre la controversial tesis de Murray sobre el Dios Cornudo y el culto de brujas precristiano. Un clásico que desentraña las raíces históricas del paganismo y la Wicca moderna.</t>
  </si>
  <si>
    <t>Martha Clover-Jones desvela los secretos de la Wicca en este manual para la bruja moderna. Conecta con la naturaleza, rituales y tu magia interior. Guía esencial para vivir tu espiritualidad pagana hoy.</t>
  </si>
  <si>
    <t>Sumérgete en los profundos secretos de la Atlántida con Martinez Concha Santiago. 'La Conexión Atlante' desvela la sabiduría oculta de una era legendaria, guiándote a despertar tu potencial ancestral y tu vínculo con un legado cósmico.</t>
  </si>
  <si>
    <t>Masaru Emoto desvela un asombroso secreto: el agua escucha. Descubre cómo tus pensamientos y emociones moldean sus cristales, revelando el poder oculto de este elemento vital y su profunda conexión con tu ser.</t>
  </si>
  <si>
    <t>Master Subramuniya's Raja Yoga: your guide to spiritual mastery. Learn ancient techniques for meditation, mind control, and unlocking higher states of consciousness. Transform your inner world and achieve lasting peace.</t>
  </si>
  <si>
    <t>Mathers' 'Kabbalah Unveiled': Your direct portal to ancient Jewish mysticism. Explore the foundational texts, uncover profound esoteric secrets, and unlock the deep Gnostic wisdom of Qabalah. Essential reading for any occult student.</t>
  </si>
  <si>
    <t>Mathers' "Greater Key of Solomon": The essential grimoire of ceremonial magic. Uncover ancient rituals for invoking spirits, commanding occult forces, and mastering profound cosmic mysteries. Unlock forgotten power.</t>
  </si>
  <si>
    <t>Dive into ceremonial magic! Mathers' 'Greater Key of Solomon Vol 1' offers practical instruction for powerful rituals, talismans, and spirit conjuration. The essential grimoire for unlocking ancient esoteric wisdom.</t>
  </si>
  <si>
    <t>Mathers' Greater Key of Solomon Vol 2: Unearth advanced Solomonic magic. Delve into profound rituals, planetary intelligence, and powerful seals to master the ancient esoteric path. A vital guide for the serious occultist.</t>
  </si>
  <si>
    <t>MacGregor Mathers' Lemegeton: The Lesser Key of Solomon. A foundational grimoire detailing ancient rituals for summoning 72 demons &amp; spirits, revealing their sigils &amp; powers. Explore the depths of Solomonic magic.</t>
  </si>
  <si>
    <t>Unlock forbidden knowledge with Mathers' Lemegeton: The Lesser Key of Solomon. Explore King Solomon's grimoire for summoning and controlling 72 spirits, from demons to angels. Master the occult arts.</t>
  </si>
  <si>
    <t>MacGregor Mathers' 'Lesser Key of Solomon': The legendary grimoire revealing Goetic magic. Command spirits, perform ancient rituals, and unlock forbidden wisdom. A key text for serious occultists seeking profound esoteric knowledge.</t>
  </si>
  <si>
    <t>Unleash ancient power! Mathers unveils Solomon's grimoire: The Goetia. Summon 72 spirits, master sigils &amp; rituals. Essential for occultists &amp; those seeking forbidden knowledge. Dive into classic ceremonial magic.</t>
  </si>
  <si>
    <t>Dive into Mathers' Lemegeton Vol 2, a key part of The Lesser Key of Solomon. Uncover ancient rituals, sigils, and secrets for invoking spirits and mastering Solomonic magic. Essential reading for the serious occultist.</t>
  </si>
  <si>
    <t>Unlocks spiritual initiation's secrets across epochs. Max Heindel unveils the path to higher consciousness, merging ancient wisdom with modern understanding for inner awakening.</t>
  </si>
  <si>
    <t>Decode your destiny through the stars! Max Heindel reveals Rosicrucian spiritual astrology, exploring cosmic forces shaping health, character, and evolution. An essential guide to understanding the celestial message.</t>
  </si>
  <si>
    <t>Max Heindel te invita a explorar 'Recolecciones de un Místico'. Descubre un sendero hacia la sabiduría oculta y las profundas revelaciones de una vida dedicada al espíritu. Un mapa estelar para el alma.</t>
  </si>
  <si>
    <t>Max Heindel's "Teachings of an Initiate" unveils profound spiritual secrets. Explore cosmic laws, the soul's journey, and the path to higher consciousness. Essential wisdom for the modern seeker.</t>
  </si>
  <si>
    <t>"Hermes El Maestro de la Sabiduría" de Josefina Maynade. Sumérgete en el conocimiento hermético. Desvela la alquimia, el esoterismo y los misterios ancestrales.</t>
  </si>
  <si>
    <t>Jorge Medina desvela el lado oculto de 'El Código Da Vinci'. Un análisis esotérico que va más allá de la ficción para revelar verdades silenciadas y enigmas ancestrales. Prepárate para la revelación.</t>
  </si>
  <si>
    <t>Unlock the magic of laughter! Melvin Helitzer's Comedy Writing Secrets, 2nd Edition, reveals the hilarious methods behind crafting jokes, sketches, and stand-up routines. Master timing, punchlines, and comedic structure to make audiences roar. Your guide to making people laugh out loud!</t>
  </si>
  <si>
    <t>Sumérgete en el universo oculto de los números con Mariano Mendez. 'El significado de los números' te revela cómo cada cifra moldea tu destino y el cosmos. Descodifica su poder esotérico y transforma tu percepción de la realidad.</t>
  </si>
  <si>
    <t>Michael A. Aquino's "Church of Satan" offers an unparalleled insider's perspective on the controversial organization. Explore its history, philosophy, and the figures who shaped modern Satanism. A vital read for occult enthusiasts.</t>
  </si>
  <si>
    <t>Michael Tsarion's Astrotheology And Sidereal Mythology: Unearth the ancient cosmic tapestry. Explore how stars shaped gods, myths, and human destiny. A deep dive into forgotten sidereal wisdom.</t>
  </si>
  <si>
    <t>Michael Tsarion's revelatory work links Atlantis, extraterrestrial visitation, and humanity's genetic manipulation. Discover the untold story of our origins.</t>
  </si>
  <si>
    <t>Michelet desvela la 'Historia del Satanismo y la Brujería'. Un viaje por el origen, ritos y persecución de la bruja, vista como rebelde. Clásico esencial que te sumerge en el lado oculto de la historia. Fascinante y provocador.</t>
  </si>
  <si>
    <t>Migene Gonzalez Wippler comparte sus vivencias en 'Mis Experiencias en La Religion'. Un viaje audaz al corazón del esoterismo, la magia y lo oculto, que desvela secretos y desafía tu visión del mundo espiritual.</t>
  </si>
  <si>
    <t>Master practical defense &amp; reversal magick with Jason Miller. This guide equips you to combat curses, psychic attacks, and negative energies effectively. Learn powerful techniques to protect yourself, your space, and turn the tide against magical threats.</t>
  </si>
  <si>
    <t>Master the arcane art of Tarot with Min's 'Compleat Tarot Manual'. Your comprehensive guide to card meanings, spreads, and intuitive insights. Elevate your practice, divine your future, and deepen self-understanding.</t>
  </si>
  <si>
    <t>Min's Compleat Tarot Pak: The definitive guide to unlocking Tarot's power. Master every card, interpret ancient symbols, and profoundly deepen your spiritual journey. Your complete divination toolkit.</t>
  </si>
  <si>
    <t>Min's 'Historical Calendar Of Jesus' reinterprets sacred history through an occult lens. Discover the hidden dates and mystical influences shaping the Messiah's journey. Uncover what mainstream history overlooks.</t>
  </si>
  <si>
    <t>Min's Interlinear Nostradamus deciphers the enigmatic prophecies. Explore original texts, word-for-word, to unveil hidden futures and profound esoteric wisdom. Unlock the secrets of time itself with this essential guide to the great seer.</t>
  </si>
  <si>
    <t>Unlock Min's Judicial Horoscopes: Ancient wisdom reveals how cosmic alignments dictate karmic justice, legal outcomes, and life's decrees. Dive deep into astrological prophecy to master your destiny and decipher fate's grand design.</t>
  </si>
  <si>
    <t>Discover the hidden frequencies with Min's 'Light &amp; Sound'. This esoteric guide reveals secrets of creation, consciousness, and your true vibrational self. A journey to inner awakening.</t>
  </si>
  <si>
    <t>Min Tzu unlocks the profound world of 'Chinese Taoist Sorcery.' Discover authentic rituals, potent talismans, and ancient techniques for protection, healing, and spiritual mastery. A gateway to hidden power.</t>
  </si>
  <si>
    <t>Explore the profound recurrence of bear restoration symbolism. This esoteric study illuminates shared ancient wisdom, tracing powerful spiritual themes across Minusinsk Basin Evenki and Basin-Plateau Ute traditions.</t>
  </si>
  <si>
    <t>Alberto Miralles desvela el velo esotérico de la leyenda artúrica. Explora los misterios ocultos, la magia y el profundo simbolismo del Rey Arturo y los Caballeros. Un viaje revelador más allá de la historia conocida.</t>
  </si>
  <si>
    <t>Mircea Eliade nos guía por el misticismo de la serpiente: símbolo primordial de la regeneración, la sabiduría y la energía cósmica que conecta mundos ocultos. Un viaje a los enigmas de lo sagrado.</t>
  </si>
  <si>
    <t>Eliade desvela el Yoga de Patanjali. Un análisis profundo de la filosofía y práctica esotérica que busca la liberación. Clave para entender el camino espiritual y el misticismo hindú.</t>
  </si>
  <si>
    <t>Mircea Eliade desentraña las 'Técnicas del Yoga'. Una inmersión profunda en sus prácticas ancestrales y su dimensión esotérica, revelando el poder transformador de esta disciplina milenaria.</t>
  </si>
  <si>
    <t>MONTSE OSUNA te invita a descubrir la bruja que llevas dentro. 'Libro Bruja Moderna': guía esencial para conectar con tu poder, sabiduría ancestral y magia práctica en el mundo de hoy.</t>
  </si>
  <si>
    <t>Moshe Idel desvela los secretos del Golem. Explora la creación cabalística, el poder místico y la magia judía detrás de este ser artificial. Un estudio profundo sobre la imitación divina y las tradiciones ocultas que forjaron su leyenda.</t>
  </si>
  <si>
    <t>Did European witch trials target a real, organized pagan cult? Murray's groundbreaking theory challenges history, redefining occult perspectives on witchcraft and ancient religions.</t>
  </si>
  <si>
    <t>N. K. Sandars presents Enuma Elish: decode the Babylonian creation epic. Journey through cosmic chaos, divine genesis, and the primal conflict that forged the universe. Essential for seekers of ancient mystical wisdom.</t>
  </si>
  <si>
    <t>Unlock the mind's power to manifest. Napoleon Hill's timeless guide reveals how unwavering thought and burning desire transform unseen forces into tangible wealth and success. Master your inner world, master your destiny.</t>
  </si>
  <si>
    <t>Natalia Ter Grigorian de Demianiuk's 'Ararat Enigmatico' invites you to unlock the sacred mountain's hidden truths. Delve into ancient esoteric mysteries and profound wisdom, a captivating journey into Ararat's mystical heart.</t>
  </si>
  <si>
    <t>National Geographic Society te invita a desentrañar los secretos milenarios. Explora 'Grandes Enigmas De La Humanidad: El Primer Humano'. Un viaje revelador a nuestros orígenes más profundos.</t>
  </si>
  <si>
    <t>Descubre los oscuros secretos y experimentos clandestinos de la CIA que desafían la comprensión humana. National Geographic desvela enigmas históricos: del control mental a proyectos ocultos.</t>
  </si>
  <si>
    <t>National Geographic explora el enigma más grande: aquellos que volvieron de la muerte. Sumérgete en relatos fascinantes que desafían la ciencia, el entendimiento y los límites de la existencia humana.</t>
  </si>
  <si>
    <t>National Geographic explora a fondo Roswell y el fenómeno OVNI. ¿Qué ocultan los cielos? Sumérgete en los grandes enigmas que desafían la ciencia y la imaginación. Un viaje fascinante a la verdad detrás de los avistamientos más famosos.</t>
  </si>
  <si>
    <t>National Geographic explora el Triángulo de las Bermudas. Sumérgete en las inexplicables desapariciones de barcos y aviones que alimentan su leyenda. ¿Misterio sin resolver o pura invención? Desvela los enigmas que desafían la razón.</t>
  </si>
  <si>
    <t>Explora con National Geographic uno de los 'Grandes Enigmas de la Humanidad': el caso de Jack el Destripador. Revive el terror victoriano, analiza las teorías y las pistas. ¿Lograrás resolver este misterio histórico?</t>
  </si>
  <si>
    <t>Descubre los grandes enigmas que sellaron el destino de la Rusia imperial. Adéntrate en el oscuro poder de Rasputín y la influencia oculta que marcó los últimos días del Zar. Un misterio histórico.</t>
  </si>
  <si>
    <t>National Geographic indaga en los "Visitantes de la Antigüedad". ¿Hubo contacto extraterrestre en el pasado remoto? Un análisis fascinante sobre civilizaciones antiguas y los misterios que dejaron tras de sí.</t>
  </si>
  <si>
    <t>NatGeo desvela los grandes enigmas de la vida secreta de Jesús. ¿Qué verdades ocultas aguardan más allá de lo conocido? Un fascinante viaje a las facetas menos exploradas de su legado, revelando misterios profundos.</t>
  </si>
  <si>
    <t>Sumérgete en los grandes enigmas del Amazonas. National Geographic desvela los secretos de sus legendarias ciudades perdidas, tesoros ocultos entre la densa selva. ¡Una aventura fascinante!</t>
  </si>
  <si>
    <t>National Geographic desentraña el mayor enigma: La Muerte de Hitler. ¿Un final conocido o un escape? Sumérgete en los secretos ocultos y teorías que rodean sus últimos días. ¿Estás listo para la verdad?</t>
  </si>
  <si>
    <t>National Geographic desvela el velo de los Barcos Fantasmas. Explora 16 misterios náuticos que han desafiado la lógica humana. ¿Qué enigmas ocultan las leyendas marinas? Una inmersión fascinante en lo inexplicable.</t>
  </si>
  <si>
    <t>National Geographic Society explora los Mitos del Antiguo Testamento. ¿Qué verdades ocultas o enigmas ancestrales guardan sus relatos milenarios? Sumérgete en una fascinante investigación que desentraña las profundidades de la historia y la fe.</t>
  </si>
  <si>
    <t>National Geographic desvela los Grandes Enigmas de la Humanidad. Adéntrate en las tumbas antiguas, explorando secretos milenarios y ritos que guardan verdades ocultas desde el amanecer de los tiempos.</t>
  </si>
  <si>
    <t>Sumérgete en uno de los Grandes Enigmas de la Humanidad: la Atlántida. ¿Mito o realidad? Descifra la leyenda del continente perdido y sus ancestrales secretos.</t>
  </si>
  <si>
    <t>National Geographic explora "Grandes Enigmas De La Humanidad: Los Secretos De Los Faraones". Desvela misterios ancestrales y conocimientos ocultos del antiguo Egipto que la historia ha intentado callar.</t>
  </si>
  <si>
    <t>National Geographic Society desvela secretos cósmicos milenarios. ¿Quiénes moran en Marte y más allá? Un viaje a la vida extraterrestre que va más allá de la ciencia, revelando la verdadera esencia de los mundos. Expande tu percepción.</t>
  </si>
  <si>
    <t>National Geographic se sumerge en el misterio de los milagros modernos. ¿Es la lógica la única respuesta o lo extraordinario aún nos asombra? Un viaje entre ciencia, creencias y fenómenos que desafían toda explicación.</t>
  </si>
  <si>
    <t>National Geographic Society desvela los enigmas más oscuros de la Segunda Guerra Mundial. Explora teorías esotéricas, sociedades secretas y fenómenos inexplicables que la historia oficial ignora. Prepárate para una visión inédita del conflicto.</t>
  </si>
  <si>
    <t>Con National Geographic, desvela la verdad histórica de Vlad Draculea. Explora al príncipe real tras el mito de Drácula, el hombre que fue mucho más que una leyenda de vampiros.</t>
  </si>
  <si>
    <t>¿Son solo nubes? Nenki te destapa la verdad detrás de los chemtrails: rastros mortales que esconden una agenda secreta para manipular tu salud y el clima. Lo que el cielo te oculta.</t>
  </si>
  <si>
    <t>Nenki Amitie revela la oscura verdad. "Chemtrails Rastros Mortales En El Cielo" destapa la manipulación oculta tras las estelas: ¿son veneno que altera tu mundo? Prepárate para ver más allá.</t>
  </si>
  <si>
    <t>Nicholae Athanasius desvela 'Misterios De La Biblia'. Sumérgete en una interpretación sorprendente que revela secretos ocultos y verdades ancestrales, desafiando tu visión de las escrituras como nunca antes.</t>
  </si>
  <si>
    <t>Nikola Tesla te invita a 'Yo y La Energía': un viaje esotérico para desvelar el poder oculto del cosmos en ti. Aprende a sintonizar con la vibración universal y manifestar tu realidad.</t>
  </si>
  <si>
    <t>Nostradamus's 'Prophecies': Cryptic quatrains foretelling global destiny. Uncover enigmatic visions of war, plague, and monumental upheavals spanning centuries. A timeless, unsettling glimpse into humanity's future.</t>
  </si>
  <si>
    <t>Nye's 'Encyclopedia of Ancient &amp; Forbidden Secrets': The ultimate compendium of forgotten rituals, dark magic, and occult lore. Dare to unlock forbidden knowledge hidden for millennia.</t>
  </si>
  <si>
    <t>Odo Casel desvela el velo del culto cristiano. Sumérgete en el misterio profundo y la potencia oculta de sus ritos, revelando la presencia divina que transforma. Un viaje al corazón esotérico de la fe.</t>
  </si>
  <si>
    <t>Omraam Mikhael en 'El adulterio' trasciende lo carnal: explora la traición al espíritu y la infidelidad a tu verdad interior. Una obra esotérica clave para la pureza y conexión divina.</t>
  </si>
  <si>
    <t>Descubre con Omraam Mikhael la sabiduría oculta en el aire y la armonía. Este libro es una guía para equilibrar tu ser, elevar tu conciencia y vivir en plenitud.</t>
  </si>
  <si>
    <t>Omraam Mikhael revela en 'El Poder de la Respiración' la clave de tu energía. Domina el aliento sagrado para transformar tu ser, elevar tu conciencia y vivir en plenitud.</t>
  </si>
  <si>
    <t>Omraam Mikhael te guía en 'El Segundo Nacimiento' hacia una profunda metamorfosis interior. Descubre cómo renacer en conciencia y espíritu para alcanzar una vida plena y luminosa. Tu auténtica transformación espera.</t>
  </si>
  <si>
    <t>Omraam Mikhael desvela en 'La Iglesia, sus formas y el Diablo' la lucha esotérica entre luz y sombra. ¿Cómo se manifiestan el bien, el mal y la espiritualidad dentro y fuera de las estructuras? Una mirada profunda a los misterios ocultos.</t>
  </si>
  <si>
    <t>Omraam Mikhael te guía para diferenciar personalidad e individualidad. Descubre la clave esencial para tu desarrollo y evolución, y despierta el verdadero ser que habita en ti. Un viaje transformador hacia el potencial interior.</t>
  </si>
  <si>
    <t>Omraam Mikhael's "You Are Gods" unlocks your true nature. Discover the divine spark within, awaken boundless spiritual power, and master your destiny. A profound esoteric journey.</t>
  </si>
  <si>
    <t>Aivanhov revela el verdadero "Trabajo Alquímico": la transmutación interior. Guía para transformar el plomo de tu ser en oro espiritual, alcanzando la conciencia divina. Un sendero esotérico hacia la maestría y la luz interior.</t>
  </si>
  <si>
    <t>Omraam Mikhael Aivanhov's 'Spiritual Electroplating' unveils the art of transforming your inner self. Learn to purify your being and imbue it with divine light, cultivating virtues for a radiant spiritual life.</t>
  </si>
  <si>
    <t>Omraam Mikhaël Aïvanhov te guía por los misterios de los dos árboles del Paraíso. Desvela cómo la dualidad del Conocimiento y la Vida moldea tu camino espiritual. Una obra esencial para la transformación interior y el despertar de tu conciencia.</t>
  </si>
  <si>
    <t>Omraam M. Aivanhov revela en "Poderes de La Vida" cómo despertar la energía vital que yace en ti. Activa tu potencial latente, transforma tu existencia y accede a una plenitud luminosa. Una guía para la autoconciencia y la maestría interior.</t>
  </si>
  <si>
    <t>Michel Onfray en su 'Tratado De Ateologia' revela las entrañas de la fe. Un manifiesto audaz que desafía dogmas, invita a la liberación del pensamiento y sienta las bases de una ética sin dios. Prepárate para cuestionar todo.</t>
  </si>
  <si>
    <t>Ophiel te enseña el dominio de la visualización creativa. Este arte esotérico es tu llave para moldear la realidad, manifestar tus deseos y transformar tu vida. El poder de tu mente en acción.</t>
  </si>
  <si>
    <t>"MONOGRAFIA" from Ordo Templis Solaris et Sactum Mortum. Discover the potent secrets of solar mysticism and the sacred mysteries of death. A singular occult revelation for those who dare to delve.</t>
  </si>
  <si>
    <t>Austin Osman Spare unveils a radical path to self-liberation and ecstatic gnosis. Dive into his unique psychology of pleasure, unlocking true will beyond conventional occultism.</t>
  </si>
  <si>
    <t>Oto desvela los velos de lo divino en 'De La Naturaleza De Los Dioses'. Sumérgete en el corazón del ocultismo y explora la verdadera esencia de los dioses. Un texto esencial para comprender las fuerzas cósmicas que rigen nuestro mundo.</t>
  </si>
  <si>
    <t>Oto desvela el secreto de 'Del Matrimonio Secreto De Los Dioses Con Los Hombres'. Un texto esotérico sobre la unión divina y humana. Sumérgete en la alquimia interior y la revelación de profundos misterios.</t>
  </si>
  <si>
    <t>Desvela los secretos arcanos del Santo Grial. Oto te guía por un sendero ocultista de revelación y sabiduría. ¿Listo para lo insondable?</t>
  </si>
  <si>
    <t>Ouspenski's Tarot: Unlock the ancient, esoteric secrets hidden within the cards. A deep exploration of symbolism and spiritual truth for profound self-discovery. Essential for mystical seekers.</t>
  </si>
  <si>
    <t>Owen's "Life Beyond the Veil" explores the unseen. A deep dive into esoteric wisdom, revealing profound truths about the afterlife and the spiritual dimensions. Unravel the mysteries.</t>
  </si>
  <si>
    <t>Owen's "Life Beyond the Veil vol 1" dives deep into the afterlife. Explore the spiritual journey, conscious survival, and profound truths revealed beyond earthly limits.</t>
  </si>
  <si>
    <t>Owen's Life Beyond the Veil vol 3: Journey further into the afterlife's mysteries. Discover the intricate realities of spirit and consciousness beyond earthly bounds.</t>
  </si>
  <si>
    <t>Owen's 'Life Beyond the Veil vol 4' unveils deeper truths of the afterlife. Explore spiritual communication, the unseen realms, and profound mysteries beyond the veil.</t>
  </si>
  <si>
    <t>Packwood's 'Memetic Magic' unveils the hidden power of ideas. Discover how to leverage memes to shape reality, influence minds, and manifest your desires. A revolutionary guide for modern magical practitioners.</t>
  </si>
  <si>
    <t>Rafael Palacios desvela una conspiración oculta tras el movimiento gay. Una obra esotérica que expone agendas secretas y un entramado complejo. ¿Verdad silenciada o pura fantasía? Decide tú.</t>
  </si>
  <si>
    <t>Palmer Hall's Invisible Forces reveals the profound impact of unseen energies and hidden influences on life. Explore occult wisdom and uncover the secret mechanics shaping reality.</t>
  </si>
  <si>
    <t>Manly P. Hall unveils Melchizedek, the timeless priest-king. Explore ancient wisdom, universal priesthoods, and the hidden spiritual lineage that transcends religions. A journey into profound esoteric truths.</t>
  </si>
  <si>
    <t>Palmer Hall's 'Treatise on Natural Occultism' reveals the universe's hidden laws. Explore the subtle forces and ancient wisdom woven into nature itself. A timeless guide to esoteric understanding.</t>
  </si>
  <si>
    <t>Panikkar's 'Hindu Spirituality': A profound exploration of Hindu thought. Dive into its mystical depths, philosophical insights, and timeless wisdom. An essential guide for spiritual seekers.</t>
  </si>
  <si>
    <t>El Gran Grimorio de Papa Honorio. La obra cumbre del ocultismo: rituales para invocar espíritus, dominar entidades y forjar pactos. Un saber prohibido que promete poder a quienes se atrevan a abrirlo. ¿Estás listo para sus secretos?</t>
  </si>
  <si>
    <t>El Gran Grimorio de Papa Honorio-1: Desbloquea la magia arcana. Rituales de invocación, pactos secretos y poder oculto. ¿Te atreves a cruzar el velo?</t>
  </si>
  <si>
    <t>Papus's "Alchemy" unveils the spiritual and material quest for the Philosopher's Stone. A deep dive into ancient wisdom, transformation, and the secrets of universal creation.</t>
  </si>
  <si>
    <t>Papus's 'Astrological Initiation' unveils the hidden cosmic forces influencing your destiny. Dive into esoteric wisdom to understand celestial mysteries and unlock your spiritual potential.</t>
  </si>
  <si>
    <t>Sumérgete en La Cábala de Papus. Desvela los arcanos del misticismo judío, el Árbol de la Vida y los secretos universales. Una guía esencial para explorar la sabiduría oculta.</t>
  </si>
  <si>
    <t>Papus desvela los principios ancestrales del ocultismo en "La ciencia de los magos". Un compendio esencial para comprender la magia hermética y los secretos que rigen el universo, explorando el saber más profundo para el iniciado.</t>
  </si>
  <si>
    <t>Papus desentraña los misterios de la reencarnación. Explora el viaje del alma, su evolución y los ciclos de vida y muerte. Una obra esotérica clave para comprender tu existencia y destino.</t>
  </si>
  <si>
    <t>Papus illuminates the Sepher Yetzirah. Explore creation's blueprint via mystic Hebrew letters and numbers. Unlock the universe's profound Kabbalistic secrets and tap into ancient esoteric wisdom.</t>
  </si>
  <si>
    <t>Papus te invita a la magia práctica. Su Tratado Elemental de Magia Práctica es tu guía definitiva para comprender y aplicar los fundamentos ocultos. Domina las bases y desvela los secretos del arte. Imprescindible para el iniciado.</t>
  </si>
  <si>
    <t>Unearth Paracelsus's Archidoxia Magica: a profound journey into natural magic, alchemy, and the cosmos's hidden powers. Discover ancient secrets for understanding and healing the world. Esoteric wisdom, concisely revealed.</t>
  </si>
  <si>
    <t>Paracelsus unveils "As plantas magicas"—a journey into the esoteric heart of nature. Discover the hidden virtues, alchemical properties, and magical powers that plants possess for healing, insight, and transformation. Essential for every occultist.</t>
  </si>
  <si>
    <t>Paracelso desvela en su 'Tratado de los seres' el mundo invisible: ninfas, gnomos, salamandras y silfos. Descubre los secretos elementales que habitan la naturaleza oculta.</t>
  </si>
  <si>
    <t>Paracelsus's 'Paragranum' dismantles medical dogma, revealing healing's true foundations: Philosophy, Astronomy, Alchemy, &amp; the spiritual. A profound esoteric work challenging all who seek nature's deepest secrets.</t>
  </si>
  <si>
    <t>Dive into Paracelsus' SeptemDefensiones: a master alchemist's fierce defense of his esoteric medicine. Unveil ancient wisdom challenging conventional dogma, advocating for experiential healing and nature's profound secrets against his critics.</t>
  </si>
  <si>
    <t>Paracelsus's 'VomHonig' reveals alchemical secrets. Explore the mystical essence of nature, divine wisdom, and ancient healing arts in this seminal esoteric text. A must for seekers of occult knowledge.</t>
  </si>
  <si>
    <t>Pare Ambroise explora lo prohibido en "Monstruos y prodigios": un bestiario esotérico de criaturas fantásticas y fenómenos inexplicables. Desvela secretos ocultos que desafían la realidad.</t>
  </si>
  <si>
    <t>Pasqually Martines desvela en su "Tratado De La Reintegración De Los Seres" la vía oculta para que el hombre recupere su origen y esencia divina. Un texto esotérico clave para el retorno espiritual.</t>
  </si>
  <si>
    <t>Paul Foster Case's seminal 'Introduction to the Study of the Tarot' is an indispensable guide to its esoteric depths. Uncover the Qabalistic wisdom and profound symbolism essential for serious occult study and spiritual illumination.</t>
  </si>
  <si>
    <t>Paul Valley's Mindwar: An occult dive into psychic warfare. Master unseen battles, defend your mind, and project influence over consciousness itself.</t>
  </si>
  <si>
    <t>Sumérgete en el Egipto faraónico. Pauline Gedge teje una trama de magia ancestral, secretos ocultos en papiros milenarios y el poder que desafía la muerte. Desentraña el enigma de Saqqara.</t>
  </si>
  <si>
    <t>Penna R. revela el ambiente histórico-cultural que gestó el cristianismo. Un viaje a las influencias ocultas, ideas místicas y movimientos desconocidos que forjaron sus verdaderas raíces. Despierta tu comprensión.</t>
  </si>
  <si>
    <t>Nigel Pennick expone las "Ciencias Secretas de Hitler". Adéntrate en el inquietante nexo entre el Tercer Reich y el ocultismo, revelando cómo el esoterismo y los mitos influyeron en su ideología y búsqueda de poder. Un análisis esencial de las raíces oscuras del régimen.</t>
  </si>
  <si>
    <t>Pernety's 'A Treatise On The Great Art' unveils the true essence of alchemy beyond metallic transmutation. A profound journey into spiritual transformation &amp; the Magnum Opus. Essential reading for seekers of hidden wisdom.</t>
  </si>
  <si>
    <t>Liber Null &amp; Psychonaut by Peter Carroll: The essential guide to Chaos Magic. Explore potent techniques for psychic exploration, belief manipulation, and reality hacking. A radical journey into modern occultism.</t>
  </si>
  <si>
    <t>Phil Hansford's Magick Course: Your journey into practical occult power begins. Master ancient wisdom, manifest your will. Transform reality.</t>
  </si>
  <si>
    <t>Phil Hine's essential guide to tactical sorcery. Master analytical techniques to meticulously plan, execute, and evaluate your magical interventions. Transform occult theory into precise, effective action for tangible change.</t>
  </si>
  <si>
    <t>Phil Hine's "Aspects of Evocation": A modern, practical guide to summoning spirits and entities. Delve into chaos magic principles for effective interaction, mastering the profound art of evocation.</t>
  </si>
  <si>
    <t>Phil Hine's Aspects of Tantra offers a pragmatic exploration of Tantric theory &amp; practice. A concise, modern guide to unlocking its transformative power and occult applications.</t>
  </si>
  <si>
    <t>Phil Hine's Condensed Chaos: your concise intro to practical Chaos Magic. Learn to treat belief as a tool, master sigils, and reshape reality with adaptable, results-driven sorcery. No dogma, just power.</t>
  </si>
  <si>
    <t>Phil Hine's "Counting Coup" reveals the art of effective magic. Master strategic engagement and subtle techniques to "count coup" on reality's challenges. A practical guide to modern occultism and impactful change.</t>
  </si>
  <si>
    <t>Unleash your will with Phil Hine's "Ego Magick." A pragmatic guide to personal power, intent, and self-transformation through modern occult practices. Master your inner self to create your desired reality.</t>
  </si>
  <si>
    <t>Phil Hine's "General Essays on Magic": a vital collection demystifying modern occultism. Practical, thought-provoking essays challenge your perspectives and enrich your magical practice. Essential reading for today's mage.</t>
  </si>
  <si>
    <t>Phil Hine's 'Magical Use Of Voice' reveals how to harness the intrinsic power of your spoken word for effective spellcraft, ritual, and personal transformation. Learn to vibrate your reality.</t>
  </si>
  <si>
    <t>Phil Hine's 'On Cursing' demystifies baneful magic. A clear, practical guide to the history, ethics, and effective crafting of curses for modern occult practitioners. Explore the unseen power with insight.</t>
  </si>
  <si>
    <t>Phil Hine's Oven Ready Chaos: Master practical chaos magic. Discover direct methods to bend reality, experiment with belief, and achieve tangible results. Your essential guide to DIY occultism, forging your path to personal magical power.</t>
  </si>
  <si>
    <t>Phil Hine's 'Oven-ready Chaos' provides immediate, practical techniques for modern chaos magic. Demystify the occult, embrace the unpredictable, and transform your reality with accessible, no-nonsense sorcery. Get cooking!</t>
  </si>
  <si>
    <t>Phil Hine's "Permutations": Dive into the fluid architecture of magic. Practical, experimental techniques to reconfigure reality, unlock hidden potentials, and master the art of occult transformation.</t>
  </si>
  <si>
    <t>Phil Hine's Prime Chaos: Your guide to practical chaos magic. Master techniques, shed dogma, and actively forge your own magical reality. Powerful insights for the modern magician.</t>
  </si>
  <si>
    <t>Phil Hine's 'Rites that go Wrong': The essential occult guide to understanding why magic rituals fail. Learn to adapt, overcome, and even thrive when the unexpected happens. Practical wisdom for every modern magician.</t>
  </si>
  <si>
    <t>Phil Hine probes the unsettling connection between psychopathy and the American Dream. Discover how society's shadow self embraces its darkest impulses in this sharp, esoteric exploration.</t>
  </si>
  <si>
    <t>Phil Hine's 'Running Magical Workshops' is your practical guide to creating powerful group rituals and transformative occult experiences. Learn to design, facilitate, and manage dynamics for effective, impactful magic. Essential for practitioners.</t>
  </si>
  <si>
    <t>Unlock the essence of shamanism with Phil Hine's insightful guide. Beyond stereotypes, discover a practical, modern approach to spirit work, altered states, and personal transformation in an esoteric context.</t>
  </si>
  <si>
    <t>"Shamanism 2" by Phil Hine explores modern shamanic practice. A practical guide to advanced techniques, altered states, and occult strategies for personal transformation.</t>
  </si>
  <si>
    <t>Journey deeper with Phil Hine's Shamanism 3. Uncover advanced techniques for contemporary shamanic practice, explore altered states, and empower your spiritual path with potent, transformative insights. Essential for the modern mystic.</t>
  </si>
  <si>
    <t>Phil Hine unpacks modern shamanic techniques. A practical guide to altered states, spirit journeys, and personal power in the contemporary world. Master the art of modern spiritual exploration.</t>
  </si>
  <si>
    <t>Phil Hine's Pseudonomicon: Uncover the power of crafted realities. A practical guide to chaos magic, sigils, and servitors. Subvert old grimoires, forge your own unique occult path and personal magic.</t>
  </si>
  <si>
    <t>Pieters Simon te guía por 'Diabolus', desvelando las mil caras del Diablo a lo largo de la historia. Un viaje esotérico por su evolución, mitos y el eterno poder de lo oscuro. ¿Te atreves a conocerlas?</t>
  </si>
  <si>
    <t>Xabier Pikaza explores the profound, often hidden, nature of the Divine. Journey through the mystical interplay between the Jewish and Christian God, uncovering ancient wisdom and challenging conventional understanding.</t>
  </si>
  <si>
    <t>Pinto Renedo Antonio presenta "El Camino Hacia La Nueva Era". Desentraña los códigos ocultos para la transformación personal y la comprensión de los tiempos por venir. ¿Estás listo para el despertar?</t>
  </si>
  <si>
    <t>Plutarco desvela los enigmas de Isis y Osiris. Tras el velo del mito egipcio, revela verdades ocultas sobre la vida, la muerte y el cosmos. Una obra clave para explorar la sabiduría arcana y filosófica de la antigüedad.</t>
  </si>
  <si>
    <t>Plutarco te invita a desvelar los arcanos de Isis y Osiris. Un viaje al corazón del mito egipcio que explora verdades ocultas sobre el amor, la muerte y el renacimiento, revelando el profundo simbolismo esotérico de la vida y el cosmos.</t>
  </si>
  <si>
    <t>Powers Rhea te guía en 'Servidores De La Luz' a conectar con seres y energías superiores. Desbloquea tu potencial, canaliza su poder y encuentra el camino hacia tu despertar espiritual y propósito de vida.</t>
  </si>
  <si>
    <t>J. Probst Biraben te sumerge en los verdaderos misterios de los Templarios. Descubre su esoterismo, ritos ocultos y el legado místico que forjó una leyenda más allá de la historia oficial. Prepárate para lo desconocido.</t>
  </si>
  <si>
    <t>Oráculos Caldeos: Fragmentos de sabiduría divina. Proclo, Pselo y Numenio desvelan el misticismo ancestral. Un portal a la filosofía esotérica y las revelaciones ocultas del pasado. Conoce el saber arcano.</t>
  </si>
  <si>
    <t>Psychonaut75's Presumed Opposition shatters illusions. Delve into occult wisdom, revealing the true nature of conflict and transcending duality. A profound journey into esoteric truths that reshape your understanding.</t>
  </si>
  <si>
    <t>Activa tu ADN estelar y eleva tu conciencia con el Manual De Ejercicios Pleyadianos de Quan Yin Amorah. Guía práctica para conectar con tu ser superior y la sabiduría cósmica. ¡Despertar asegurado!</t>
  </si>
  <si>
    <t>R. Buckland te guía a la brujería sajona. Un viaje a la magia ancestral y los ritos de la tierra. Conecta con el poder oculto y la sabiduría milenaria para forjar tu propio camino. Esencial para practicantes y curiosos.</t>
  </si>
  <si>
    <t>Rahner te guía en una inmersión profunda al "Sentido Teológico de La Muerte". Descubre las verdades ocultas tras el final, redefiniendo tu visión de la existencia y lo trascendente. Un viaje esencial.</t>
  </si>
  <si>
    <t>Discover ancient wisdom for modern times with Ralph Blum's The New Book Of Runes. A profound guide to rune casting, unlocking powerful insights and self-discovery through timeless symbols. Your personal oracle awaits.</t>
  </si>
  <si>
    <t>Ramsey Dukes' 'Blast Your Way to Megabucks' is your daring, no-nonsense occult guide to prosperity. Unlock potent magical methods to shatter limits and manifest wealth, Ramsey Dukes style. Forget traditional paths; this is pure, raw power.</t>
  </si>
  <si>
    <t>Ramsey Dukes cuts through the mystique, revealing the potent nexus of sex and magic. Prepare for an unvarnished look at the real "sex secrets" of the occult, exposing the psychology and power behind the rituals.</t>
  </si>
  <si>
    <t>Dive into Ramsey Dukes' "Spare Parts" and learn the art of assembling potent magical servitors from everyday reality. A witty, practical guide to crafting your own occult tools and bending them to your will. Expect the unexpected.</t>
  </si>
  <si>
    <t>Ramsey Dukes' Thundersqueak: A witty, radical guide dismantling occult dogma to reveal magic's true power. Challenge your perceptions, master practical techniques, and redefine reality. Essential for the serious, skeptical magician.</t>
  </si>
  <si>
    <t>Randall's "The Dead Have Never Died" reveals hidden esoteric truths. This occult journey explores consciousness beyond the grave, proving that life's essence never truly ends. Prepare to rethink mortality.</t>
  </si>
  <si>
    <t>Sumérgete en los orígenes profundos: Rappaport revela cómo el ritual y la religión fueron la chispa primigenia. Descifra el poder oculto que esculpió la humanidad y su conciencia, desde los cimientos ancestrales de lo sagrado.</t>
  </si>
  <si>
    <t>Unveil your spiritual destiny. 'Astrologia Cabalistica' by Rav Philips y Berg merges ancient Kabbalah with cosmic wisdom, offering profound insights beyond mere horoscopes.</t>
  </si>
  <si>
    <t>Ray King Godfre desvela lo indescifrable en Misterios Develados. Un portal a la sabiduría oculta y las claves para la expansión de tu conciencia. ¿Estás listo para ver la verdad?</t>
  </si>
  <si>
    <t>Ray Sherwin's "The Book of Results" reveals the core of sigil magic. A practical guide to crafting powerful symbols, manifesting desires, and achieving tangible results with direct occult power.</t>
  </si>
  <si>
    <t>Ray Sherwin's 'The Theatre of Magick' dismantles occult dogma, offering a raw, practical approach to effective, results-driven sorcery. Master the art of changing reality through focused will.</t>
  </si>
  <si>
    <t>Unlock profound secrets with Serge Raynaud de la Ferrière's 'YYY.' A captivating exploration of ancient wisdom, cosmic mysteries, and the path to spiritual awakening. Discover timeless truths for the modern seeker.</t>
  </si>
  <si>
    <t>Raziel, Cephar's 'The Book of Raizel' unveils ancient cosmic secrets and forbidden knowledge. A grimoire for those ready to explore mystical truths and awaken their true spiritual power.</t>
  </si>
  <si>
    <t>Readers Digest's 'Inverosimil Fenomenos Inexplicables' dives into the truly bizarre. Explore paranormal enigmas, psychic wonders, and unexplained occurrences that challenge science and stretch the imagination. Prepare to question everything you know.</t>
  </si>
  <si>
    <t>Rebecca Brown te guía para purificar tu ser y transformarte. Descubre cómo ser una vasija de honor, fuerte ante las acechanzas ocultas y el mal, alcanzando la verdadera libertad espiritual.</t>
  </si>
  <si>
    <t>Reformed Druids explore the esoteric depths of "Anthology 02: Books of the Apocrypha." Unlock ancient, hidden wisdom reimagined for modern spiritual seekers. Dive into sacred lore beyond the canon.</t>
  </si>
  <si>
    <t>Unearth the core liturgies of the Reformed Druids. This anthology reveals their sacred texts, guiding modern practitioners through ancient rites, fostering spiritual connection with the natural world.</t>
  </si>
  <si>
    <t>Explore the depths with Reformed Druids' 'Anthology 04.' Discover esoteric laws, intriguing trivia, and sacred calendars. A compact guide to ancient wisdom for the modern spiritual path.</t>
  </si>
  <si>
    <t>Unearth the verdant wisdom of Reformed Druidism. 'Anthology 06 The Green Books' offers esoteric insights and practices, connecting you to nature's deep spiritual currents. A vital compendium for modern mystics.</t>
  </si>
  <si>
    <t>Reformed Druids offer Anthology 07 Miscellany: an eclectic journey through modern Druidic thought. Discover diverse esoteric insights, rituals, and spiritual wisdom for today's seeker.</t>
  </si>
  <si>
    <t>Reformed Druids present 'Anthology 08: A General History.' Uncover the mystical forces and forgotten lore shaping human civilization. A concise journey through esoteric heritage.</t>
  </si>
  <si>
    <t>Explore the re-imagined wisdom of the Latter Day Reformed Druids. This essential anthology unveils their unique spiritual path, rituals, and teachings, bridging ancient tradition with contemporary insight. A must for seekers of modern Druidic thought.</t>
  </si>
  <si>
    <t>Uncover the vibrant living tradition of modern Druidry. "Anthology 10 Oral Histories" by Reformed Druids compiles authentic voices, sharing profound spiritual journeys and practical wisdom from a unique esoteric path.</t>
  </si>
  <si>
    <t>Regardie's "The Tree of Life, Part 1" unlocks Qabalistic mysteries and practical magic. Explore essential esoteric wisdom for spiritual development and ritual understanding. A foundational guide for serious occult students.</t>
  </si>
  <si>
    <t>Rene Chandelle te lleva Más Allá de Ángeles y Demonios. Descubre el secreto de los Illuminati y la Gran Conspiración que moldea nuestra realidad. Una revelación esotérica que cambiará para siempre tu visión del mundo.</t>
  </si>
  <si>
    <t>Unlock the hidden magic of common herbs. Discover ancient secrets and practical rituals to harness everyday plants for protection, manifestation, healing, and personal power.</t>
  </si>
  <si>
    <t>Unlock the secrets of transformation. Richard Bandler's 'Frogs into Princes' reveals potent NLP techniques to reframe challenges, overcome limitations, and turn your 'frogs' into valuable 'princes' for profound personal change.</t>
  </si>
  <si>
    <t>Richard Bandler's 'The Adventures of Anybody': A clandestine map to your mind's hidden dimensions. Discover the ancient art of self-creation and command your destiny. Unleash the powerful magic within.</t>
  </si>
  <si>
    <t>Richard Bandler reveals the intricate dance of NLP and hypnosis in 'Trance-formations'. Master communication patterns, induce profound states, and reshape reality with precision.</t>
  </si>
  <si>
    <t>Richard Bandler reveals how to master life's chaos. Turn perceived "nonsense" into your most potent tool for profound personal transformation. Discover unconventional strategies for a powerful, better life.</t>
  </si>
  <si>
    <t>Unlock your mind's hidden potential. Bandler's practical guide teaches you to reprogram your thinking, consciously shaping your reality for profound and lasting personal change.</t>
  </si>
  <si>
    <t>Unlock the secrets of hypnotic influence. Bandler &amp; Grinder reveal Milton Erickson's precise linguistic patterns, demystifying his legendary techniques. Master powerful communication and change.</t>
  </si>
  <si>
    <t>Bandler &amp; Grinder decode the 'magic' of human communication. Explore the language and thought patterns shaping our reality, empowering understanding and influence.</t>
  </si>
  <si>
    <t>Uncover the advanced strategies of human excellence. Bandler &amp; Grinder's 'Structure of Magic Vol II' decodes the precise patterns of effective communication and therapeutic change, equipping you to model success and create powerful shifts.</t>
  </si>
  <si>
    <t>Uncover the secrets of radical influence. Bandler &amp; La Valle's 'Persuasion Engineering' decodes the precise architecture of the mind, empowering you to master subtle control, program outcomes, and shape reality through expert communication.</t>
  </si>
  <si>
    <t>Richard Cross explores the hidden metaphysics of Incarnation. Uncover the profound secrets of divine embodiment, revealing how spirit made flesh redefines reality and our place within it. An essential esoteric study.</t>
  </si>
  <si>
    <t>Ries Julien desvela el enigma de lo sagrado. Un viaje fascinante por culturas y religiones para entender la chispa divina que impulsa la experiencia humana. Descubre su sentido oculto.</t>
  </si>
  <si>
    <t>El Amanecer De Los Brujos: Despierta a los misterios de la magia ancestral. Sumérgete en el conocimiento oculto que revelará el verdadero poder tras el velo. Prepárate para la transformación.</t>
  </si>
  <si>
    <t>Robert Anton Wilson's mind-altering odyssey into reality tunnels, Illuminati secrets, and the Sirius Mystery. A comedic, mind-expanding exploration of belief, consciousness, and cosmic coincidences. Prepare for your reality to shift.</t>
  </si>
  <si>
    <t>Robert Dilts' "Sleight of Mouth" reveals linguistic patterns to elegantly change beliefs in conversation. Master the magic of words and influence thought with subtle, powerful precision.</t>
  </si>
  <si>
    <t>Robert Graves desvela la 'Diosa Blanca'. Un viaje esotérico a la mitología poética europea, el alfabeto arbóreo y los cultos lunares. Redefine la inspiración ancestral y la figura de la Gran Madre.</t>
  </si>
  <si>
    <t>Explore beyond the physical! Robert Peterson's 'Out of Body Experiences' is your practical guide to astral projection. Learn techniques, understand the realms, and expand your consciousness with this essential esoteric text.</t>
  </si>
  <si>
    <t>Roger Caillois ilumina los misterios de 'El Hombre y Lo Sagrado'. Descubre cómo ritos, tabúes y transgresiones forjan nuestra compleja relación con lo divino, entre la fascinación y el terror.</t>
  </si>
  <si>
    <t>Roland De Vaux revela los misterios fundacionales de Israel. Sumérgete en las fuerzas ancestrales y las claves ocultas que forjaron su historia, desde sus dioses hasta sus ritos. Desvela el poder de un legado milenario.</t>
  </si>
  <si>
    <t>¿Y si el 666 no fuera lo que crees? Rosado Velasco te invita a explorar su lado sagrado y su vínculo ancestral con la Diosa. Una revelación esotérica que transformará tu visión.</t>
  </si>
  <si>
    <t>Sumérgete con Roso de Luna en las "aberraciones" psíquicas del sexo, uniendo la psicología oculta con los seres elementales de "El Conde de Gabalis". Descubre los misterios más profundos de la energía vital.</t>
  </si>
  <si>
    <t>Ross G. Arthur's English-Old Norse Dictionary: Unlock ancient sagas and forgotten lore. Delve into the mystical language of the North, where old words hold arcane power. A vital key for those seeking hidden wisdom.</t>
  </si>
  <si>
    <t>Theodore Roszak critically dissects the phenomenon of Carlos Castaneda. Explore an incisive analysis of his controversial spiritual claims and their lasting cultural influence.</t>
  </si>
  <si>
    <t>Unlock your inner eye with Rowe's "A Short Course In Scrying." This practical guide teaches you to master mirrors, crystals &amp; water for deep intuitive insights. Begin your journey to visionary revelation.</t>
  </si>
  <si>
    <t>ROWE's Enochian Magick Reference: The definitive guide to Dee &amp; Kelley's profound system. Unlock angelic communication, explore celestial scripts, and master powerful ancient rituals. Essential for any serious practitioner.</t>
  </si>
  <si>
    <t>Rowe's "The Enochian Calls" reveals ancient angelic magic. Master the powerful Enochian Keys to commune with divine intelligences and unlock profound occult wisdom. Your journey into mystical transformation begins.</t>
  </si>
  <si>
    <t>Unlock the universe's hidden dimensions. Rudolf Steiner's "An Outline of Occult Science" maps the spiritual evolution of cosmos and human consciousness, revealing esoteric wisdom for a profound understanding of existence.</t>
  </si>
  <si>
    <t>"La Conspiracion De Asis": Descubre los secretos ocultos tras el velo de Asís. Una trama esotérica que reescribe la historia, revelando verdades prohibidas y misterios ancestrales. Prepárate para cuestionar todo lo que creías saber.</t>
  </si>
  <si>
    <t>Saint Loup resucita el alma cátara en Montsegur. Una invocación a la pureza ancestral y la resistencia mística. Prepárate para el retorno de un legado esotérico que desafía las eras y busca una nueva era de luz.</t>
  </si>
  <si>
    <t>'El Hombre Nuevo' de Saint Martin: Desvela el sendero místico hacia la regeneración espiritual. Adéntrate en tu ser, despierta la chispa divina y forja una nueva humanidad interior. Transformación y sabiduría oculta.</t>
  </si>
  <si>
    <t>Sainz Salvador desvela la verdadera esencia de los vampiros, más allá de la leyenda. Un viaje a su dominio esotérico como Reyes de la Noche.</t>
  </si>
  <si>
    <t>Salomon Trismosin's 'Splendor Solis' is a visual feast of alchemical wisdom. Delve into its stunning illuminations and profound texts, guiding you through symbolic transformation to unlock the Philosopher's Stone.</t>
  </si>
  <si>
    <t>Freixedo expone la incómoda verdad: las religiones como instrumentos que nos separan y ocultan el verdadero conocimiento. Un viaje esotérico que cuestiona toda creencia establecida.</t>
  </si>
  <si>
    <t>Samael Aun Weor desvela los arcanos de 'El Libro Egipcio de los Muertos'. Una guía gnóstica para descifrar los misterios de la vida, la muerte y la resurrección iniciática. Explora los secretos del viaje del alma y la sabiduría ancestral.</t>
  </si>
  <si>
    <t>Magia Sexual de Samael Aun Weor: La clave esotérica para transmutar la energía vital. Despierta tu conciencia, libera tu poder creador y descubre la verdadera alquimia interior. Un camino hacia la autoconquista.</t>
  </si>
  <si>
    <t>Ricardo Santander se atreve a preguntar: ¿Fue Jehová un ser de las estrellas? Una relectura de textos sagrados que sugiere orígenes cósmicos para nuestros dioses. Prepárate para cuestionar todo.</t>
  </si>
  <si>
    <t>Scheibel's legendary "Seventh Book of Moses" reveals forbidden ancient magic. Delve into powerful divine names, spirit conjurations, and rituals for mastery over the unseen. An essential grimoire for the serious occultist.</t>
  </si>
  <si>
    <t>Johann Scheibel's 'Sixth Book of Moses' unlocks ancient Hebrew magic. Discover long-lost Biblical conjurations, divine names, and spiritual formulas for power and command. Dive into this infamous grimoire of esoteric ritual.</t>
  </si>
  <si>
    <t>Schopenhauer, desde su aguda razón, examina 'Las ciencias ocultas'. Una visión filosófica sobre lo esotérico, la magia y los límites de la comprensión humana. ¿Dónde termina la realidad y empieza el misterio?</t>
  </si>
  <si>
    <t>Dare to delve into the shadows. Scott's 'On Demonology &amp; Witchcraft' unearths the history and practices of infernal beings and ancient magic. A chilling guide to the dark arts.</t>
  </si>
  <si>
    <t>Robert Scrutton desvela en 'La Otra Atlántida' los misterios de una civilización perdida y nuestros orígenes cósmicos. Una obra esotérica que reescribe la historia oculta. Imprescindible para buscadores de conocimiento ancestral.</t>
  </si>
  <si>
    <t>Desvela los misterios ocultos de la Atlántida perdida con Robert Scrutton. Un viaje esotérico a su civilización avanzada, su caída y el legado secreto que dejó. ¿La verdad está al alcance?</t>
  </si>
  <si>
    <t>Sekhet Sophia te guía por el Libro de las Sombras Alejandrino. Sumérgete en la sabiduría oculta, rituales sagrados y la esencia de la tradición wiccana. Despierta tu poder interior y forja tu camino.</t>
  </si>
  <si>
    <t>Sepharial's A Manual Of Occultism distills esoteric secrets. Dive into astrology, numerology, Qabalah, and divination. Your essential guide to understanding the hidden forces of the universe.</t>
  </si>
  <si>
    <t>Serrano Miguel revela la vía oculta. 'La Resurrección del Héroe' es una guía para la transformación profunda, el despertar de tu potencial divino y el renacimiento de tu espíritu. ¿Listo para resurgir?</t>
  </si>
  <si>
    <t>Idries Shah's 'Book of Power' reveals ancient esoteric wisdom. Discover hidden truths to unlock your inner potential and master the subtle forces of life. A transformative read for those seeking deeper understanding.</t>
  </si>
  <si>
    <t>Explora la sabiduría ancestral de los druidas con Philip Shallcrass. 'El Sendero Del Druida' te guía a reconectar con la naturaleza, la magia y tu ser interior. Un viaje transformador hacia las raíces espirituales de la tradición celta.</t>
  </si>
  <si>
    <t>Profetismo en Israel de Sicre: Desvela los misterios de la conexión profética. Explora cómo los visionarios de Israel canalizaron lo divino, revelando verdades ocultas y forjando el destino. Un portal a la sabiduría ancestral.</t>
  </si>
  <si>
    <t>Sierra Arcadio desvela los secretos más profundos de Efesios. 'El Misterio De Cristo Revelado' te lleva por un camino esotérico hacia la gnosis y la comprensión espiritual. Una lectura transformadora para buscadores de verdades ocultas.</t>
  </si>
  <si>
    <t>Javier Sierra te sumerge en la búsqueda de la Edad de Oro. Descubre un fascinante viaje por conocimientos ocultos y misterios ancestrales que podrían revelar el destino último de la humanidad. ¿Te atreves a desvelar sus secretos?</t>
  </si>
  <si>
    <t>Simon's Necronomicon: A controversial grimoire revealing forbidden Sumerian sorcery. Unearth ancient rituals to summon powerful entities and confront cosmic horrors. Not for the faint of heart.</t>
  </si>
  <si>
    <t>Unlock the dark power of the Necronomicon. Simon's infamous spell book offers rituals for invoking eldritch entities &amp; forbidden knowledge.</t>
  </si>
  <si>
    <t>Desvela el Grial. Más allá del mito, Sinclair Andrew revela su esencia esotérica, el poder ancestral y el conocimiento oculto que el tiempo no pudo borrar. Una búsqueda que redefine la verdad.</t>
  </si>
  <si>
    <t>Sinnett's Esoteric Buddhism reveals the secret spiritual science behind Eastern wisdom. Dive into karma, reincarnation, and the mystic principles guiding cosmic and human evolution. Essential reading for spiritual seekers.</t>
  </si>
  <si>
    <t>Sir Edward Kelly's "The Stone Of The Philosophers" invites you on an arcane journey. Uncover the ultimate alchemical secrets of transmutation and the profound power of the legendary Philosopher's Stone. Essential reading for the curious.</t>
  </si>
  <si>
    <t>¿Y si nuestros orígenes fueran cósmicos? Sitchin traduce el "diario" de Enki, revelando cómo los Annunaki forjaron la humanidad a partir de antiguos textos sumerios. Una visión audaz de nuestra historia oculta.</t>
  </si>
  <si>
    <t>Unlock divine wisdom &amp; perfect memory with Solomon's Ars Notoria. Master ancient rituals to invoke angels, instantly acquire knowledge, and profoundly transform your mind.</t>
  </si>
  <si>
    <t>Descubre la fascinante relación entre el cosmos y la vida humana a través de los manuscritos medievales. Sophie Page revela cómo la astrología formó el mundo oculto y el pensamiento de la Edad Media.</t>
  </si>
  <si>
    <t>Sorgia Raimondo desvela los secretos ocultos de la Sábana Santa. ¿Fraude o huella divina? Explora respuestas esotéricas a un enigma milenario que desafía ciencia y fe. Un viaje profundo a la verdad.</t>
  </si>
  <si>
    <t>Sosa Ulises revela el poder curativo ancestral de las pirámides. Una revolución terapéutica que transforma tu bienestar usando geometría sagrada. Descubre sus secretos milenarios para la salud y energía.</t>
  </si>
  <si>
    <t>Spiritual-Anarchist's Saint Faust, Imperium Magus reveals a defiant path to ultimate power. Explore forbidden knowledge, master arcane forces, and embrace spiritual rebellion. Uncover the secrets to forging your own dominion.</t>
  </si>
  <si>
    <t>Harness the incredible power of your mind! Sri Swami Sivananda's "Thought Power" is your guide to mastering thoughts, reshaping reality, and manifesting a life of peace and purpose. Unlock your inner potential.</t>
  </si>
  <si>
    <t>Starhawk, 'La danza en espiral'. Guía esencial de brujería feminista. Conecta con la Diosa, la Tierra y tu poder interior. Redefine tu espiritualidad y despierta tu magia. Un clásico transformador.</t>
  </si>
  <si>
    <t>Steiner R. te guía a la verdadera libertad. Descubre cómo el pensar consciente emancipa tu espíritu, revelando tu ser autónomo más allá de condicionamientos. La clave para forjar tu destino desde la voluntad interior.</t>
  </si>
  <si>
    <t>Steiner desvela la conexión esotérica entre el cristianismo y los misterios de la antigüedad. Un viaje iluminador que revela las raíces profundas y la sabiduría oculta tras la fe.</t>
  </si>
  <si>
    <t>Rudolf Steiner desentraña los enigmas Rosacruces. Un viaje profundo a su sabiduría esotérica, revelando el sendero iniciático hacia el conocimiento espiritual oculto. Clave para entender su legado y trascendencia.</t>
  </si>
  <si>
    <t>Rudolf Steiner, 'Guia para el conocimiento': Tu mapa esencial. Desvela los senderos de la percepción oculta y explora las profundidades del espíritu. Un viaje transformador hacia la sabiduría interior.</t>
  </si>
  <si>
    <t>Steiner te guía por los Mitos y Misterios Egipcios. Sumérgete en la sabiduría ancestral y la visión esotérica que revela la conexión entre el cosmos, los dioses y el destino humano. Un viaje al alma de Egipto.</t>
  </si>
  <si>
    <t>Rudolf Steiner desvela el significado oculto de la sangre. Descubre cómo este fluido vital es clave para la conciencia, la evolución humana y la conexión con el espíritu. Una perspectiva esotérica que redefine nuestra comprensión del ser.</t>
  </si>
  <si>
    <t>Stephen Mace's 'Shaping Formless Fire' guides you to harness primal spiritual energy. Discover ancient occult techniques to ignite your inner flame and manifest profound transformation. Unlock hidden powers and reshape your world.</t>
  </si>
  <si>
    <t>Stephen Mace's "Stealing the Fire From Heaven" is a provocative journey into forbidden knowledge, empowering you to reclaim your divine essence and ignite spiritual revolution.</t>
  </si>
  <si>
    <t>Unearth ancient secrets with Swami Swatmarama's Hatha Yoga Pradipika. A foundational text unveiling potent Hatha Yoga practices—asanas, pranayama, mudras—to awaken dormant energies and ascend to higher states of consciousness. Your guide to inner mastery.</t>
  </si>
  <si>
    <t>Swartz unveils Nikola Tesla's lost journals, exposing the shocking link between his legendary genius and the HAARP project. Dive into forbidden energy secrets, untold power, and truths that redefine our understanding of the world.</t>
  </si>
  <si>
    <t>Taylor Jeremy desvela los secretos milenarios y verdades ocultas que la historia oficial silenció. Prepárate para cuestionar el pasado y reescribir tu propia realidad con 'Enigmas De La Historia'.</t>
  </si>
  <si>
    <t>Temple of Set unveils the true currents of Ancient Egyptian history. Go beyond conventional narratives to discover the profound esoteric wisdom and hidden power that shaped an empire. A transformative journey into Egypt's magical past.</t>
  </si>
  <si>
    <t>Ancient Egyptian History 2, from the Temple of Set. A Setian exploration of Egypt's hidden past and occult mysteries. Discover profound truths.</t>
  </si>
  <si>
    <t>Terence McKenna deconstructs alchemy in these lectures, revealing it not as base metals to gold, but as a profound psychedelic journey into the transformation of consciousness and the human spirit. Explore ancient wisdom re-envisioned.</t>
  </si>
  <si>
    <t>Thacher's An Essay on Demonology: a profound exploration of infernal entities. Delve into ancient classifications, occult histories, and the very nature of evil. Unveil the shadowed truths of the supernatural world.</t>
  </si>
  <si>
    <t>Delve into the dark world of Elizabethan Demonology. Spalding explores the era's profound beliefs in spirits, witchcraft, and the infernal powers that haunted daily life. A captivating historical look at occult fears and fascinations.</t>
  </si>
  <si>
    <t>Thompson exposes the esoteric truth behind power: How the Bank of England masterminds the British government. Who truly holds the reins?</t>
  </si>
  <si>
    <t>Thompson's 'The Coming Corporate State' unveils the esoteric forces shaping global power. Discover the hidden spiritual architecture behind modern corporations &amp; their role in a predicted new world order. A deep dive into the occult underpinnings of societal control. Unmask the unseen.</t>
  </si>
  <si>
    <t>Timothy Leary redefines 'The Tibetan Book of the Dead' as a guide for psychedelic voyages. Navigate ego-death, rebirth, and the journey through consciousness. A radical manual for exploring inner space and beyond.</t>
  </si>
  <si>
    <t>Unearth the forgotten deities and malevolent demons lurking within biblical texts. Toorn Becking Van Der Horst's definitive dictionary illuminates the dark corners of ancient religion and scripture. A vital guide to supernatural beings.</t>
  </si>
  <si>
    <t>Sumérgete en 'La Arqueologia Misteriosa' de M.C. Touchard. Descubre ruinas imposibles, artefactos que desafían el tiempo y saberes ancestrales ocultos. ¿Y si la historia que conoces es solo una parte?</t>
  </si>
  <si>
    <t>Ravenscroft desvela la oscura verdad: el ascenso de Hitler fue impulsado por fuerzas ocultas y una conspiración esotérica. Un análisis inquietante sobre la magia negra detrás del poder nazi.</t>
  </si>
  <si>
    <t>Robert Turner's 'Arbatel of Magick' reveals Renaissance secrets of celestial magic. A concise grimoire on Olympian spirits &amp; esoteric wisdom, offering profound insights for practical spiritual practice.</t>
  </si>
  <si>
    <t>U.S. Army Special Forces unveils 'Caching Techniques.' Dive into the forbidden knowledge of securing hidden truths, sacred relics, and formidable power. Master the art of ultimate concealment.</t>
  </si>
  <si>
    <t>Ready to defy morality? Uncle Setnakt's incendiary guide, Become Evil and Rule the World, unlocks forbidden power. Master the art of dominance, shatter conventions, and seize your throne. Control your fate.</t>
  </si>
  <si>
    <t>Uncle Setnakt unveils the esoteric purpose behind engaging with society. Discover the hidden strategies and true power for the occultist navigating the mundane world.</t>
  </si>
  <si>
    <t>Ready to seize control? Uncle Setnakt Sez's 'Become Evil and Rule the World 2' reveals potent occult strategies to shatter limitations, manipulate systems, and ascend to absolute power. A guide for the unapologetically ambitious.</t>
  </si>
  <si>
    <t>Elevate your glass, elevate your will. Uncle Setnakt Sez's guide to ritual toasting transforms mere drinks into powerful occult acts. Discover how to imbue intent, manifest desire, and celebrate with purpose.</t>
  </si>
  <si>
    <t>Embrace your divine essence. Uncle Setnakt Sez's "Practice Divinity in Your Own Life" is your essential guide to manifesting spiritual power and transforming your world. Practical occult wisdom awaits.</t>
  </si>
  <si>
    <t>Unlock your inner power with Uncle Setnakt Sez's "The Heroic Society." A radical occult guide to building a life of strength, purpose, and mystical triumph. Challenge the mundane, embrace your heroic potential.</t>
  </si>
  <si>
    <t>Master the unseen clock of the occult. Uncle Setnakt Sez guides you through the precise timing required for success in all greater and lesser black magic operations. Unleash your true potential.</t>
  </si>
  <si>
    <t>Uncle Setnakt Sez invites you to 'Understanding Darkness.' Uncover esoteric truths, master the shadows, and unlock hidden power within. A profound journey for the brave seeker.</t>
  </si>
  <si>
    <t>"El secreto de los oráculos" de Vandenberg te invita a desvelar los misterios de la adivinación. Un viaje histórico al poder oculto de las profecías que marcan el destino.</t>
  </si>
  <si>
    <t>Dare to confront your shadow? Via Nocturne's 'Luciferian Initiation' offers a potent guide to esoteric self-mastery, exploring forbidden paths to awakening inner divinity and ultimate personal freedom.</t>
  </si>
  <si>
    <t>Vidal Cesar desvela la conspiración milenaria que alteró las Sagradas Escrituras. ¿Qué verdades nos han ocultado? Un viaje esotérico que desafiará tu fe y revelará los secretos detrás de la historia que crees conocer.</t>
  </si>
  <si>
    <t>A.E. Waite's 'Pictorial Key Of The Tarot': the essential guide to unlocking the deep symbolism and esoteric meanings of the iconic Rider-Waite-Smith deck. Discover the hidden wisdom within each card.</t>
  </si>
  <si>
    <t>Waite's 'PKT' deciphers the profound symbolism of the Tarot. A vital key to ancient mysteries, guiding seekers through esoteric wisdom and hidden truths. Essential for understanding the spiritual path.</t>
  </si>
  <si>
    <t>Burkert desvela los misterios primales de la antigua Grecia. "El Origen Salvaje" explora cómo ritos de sacrificio y mitos forjaron una cultura desde sus raíces más profundas y aterradoras.</t>
  </si>
  <si>
    <t>Seek ultimate power? Walter Carey's 'Master Keys' reveals hidden occult knowledge to command the forces of life and death.</t>
  </si>
  <si>
    <t>Walter Otto desvela el Dioniso primordial: dios de la embriaguez sagrada, la locura divina y la revelación. Un estudio esencial que te sumerge en los misterios de su mito y culto, transformando tu comprensión de la psique y lo sagrado.</t>
  </si>
  <si>
    <t>El enigma de Eleusis resuelto: ¿Un enteógeno fue la clave de las visiones espirituales que transformaron la antigua Grecia? Wasson, Hofmann y Ruck ofrecen una audaz hipótesis que reescribe la historia de la religión y la conciencia.</t>
  </si>
  <si>
    <t>Wesctott W W illuminates the Sepher Yetzirah, an ancient Kabbalistic text revealing creation's mysteries. Dive into the cosmic blueprint formed by Hebrew letters and Sefirot, unlocking profound insights into the universe's divine structure.</t>
  </si>
  <si>
    <t>Westcott's classic "An Intro Study Kabalah" demystifies ancient Hebrew mysticism. Uncover the Tree of Life, divine principles, and the path to spiritual insight. Your concise guide to profound esoteric wisdom.</t>
  </si>
  <si>
    <t>Unlock ancient secrets with Westcott's Chaldean Oracles. Discover profound Greek mystical wisdom on divine hierarchies, cosmic order, and the soul's journey. An essential guide for esoteric enlightenment.</t>
  </si>
  <si>
    <t>Westcott's Sepher Yetzirah: an ancient Kabbalistic guide to creation. Unravel the universe's design through Hebrew letters and divine numbers, exploring the mystical blueprint of existence.</t>
  </si>
  <si>
    <t>Wilford John Noble desvela en 'El Enigma De Los Dinosaurios' secretos ancestrales. ¿Fueron seres cósmicos o guardianes olvidados? Una visión ocultista que reescribe la prehistoria más allá de los fósiles.</t>
  </si>
  <si>
    <t>Blake's prophetic fusion of Heaven and Hell challenges dogma. It's a radical journey celebrating energy, passion, and the divine human imagination beyond conventional morality. Discover true spiritual liberation.</t>
  </si>
  <si>
    <t>William Pelley's Beyond Grandeur: Unearth forbidden knowledge and ascend past conventional glory. An occult journey revealing profound esoteric truths and unlocking your ultimate spiritual potential.</t>
  </si>
  <si>
    <t>Unlock the secrets of ancient Jewish mysticism with Westcott's Introduction to the Study of the Kabalah. This foundational text guides you through its core principles, offering an essential entry point into esoteric wisdom and occult thought.</t>
  </si>
  <si>
    <t>Westcott's classic uncovers the profound occult power and mystic virtues of numbers. Explore their hidden meanings and how they shape the cosmos. Essential for the esoteric seeker.</t>
  </si>
  <si>
    <t>Wittgenstein's cryptic grimoire unveils the esoteric blueprint of existence. By defining language's sacred limits, it guides you past words to silent, mystical truths. Discover what can only be shown, a path to unwritten gnosis and profound cosmic insight.</t>
  </si>
  <si>
    <t>Wotan's 'The Road to Valhalla': A potent occult journey into ancient Norse wisdom. Discover your inner warrior, master destiny, and claim your spiritual apotheosis. Your path to ultimate power begins here.</t>
  </si>
  <si>
    <t>Wynn Westcott abre 'La tabla de Isis': un portal a la magia ceremonial y el misticismo egipcio. Desvela ritos ancestrales y la sabiduría arcana de la diosa. Tu acceso al conocimiento oculto.</t>
  </si>
  <si>
    <t>Wynn Westcott revela en 'Los números' el poder oculto y el simbolismo místico de cada cifra. Descubre la clave esotérica que orquesta el universo. Una obra fundamental para desvelar los misterios de la numerología.</t>
  </si>
  <si>
    <t>Xeper's "The Eternal Word of Set" unveils the profound gnosis of Setian philosophy. A guide to radical self-creation and individuation, empowering you to embrace your unique essence and forge your own eternal becoming.</t>
  </si>
  <si>
    <t>Discover the profound power within your breath. Yogi Ramacharaka's 'Science Of Breath' offers esoteric wisdom and practical methods to harness vital energy, improve health, and elevate consciousness. A transformative guide.</t>
  </si>
  <si>
    <t>Sitchin en "El Final de los Tiempos" desentraña profecías sumerias sobre los Annunaki y el inminente ciclo cósmico. ¿Estamos ante un destino preescrito que redefinirá la humanidad? Una perspectiva audaz y reveladora.</t>
  </si>
  <si>
    <t>¿Y si la 'escalera al cielo' de los antiguos faraones era un dispositivo de los dioses Anunnaki? Sitchin revisa el legado egipcio, revelando tecnología divina, viajes estelares y la búsqueda de la inmortalidad que desafía la historia.</t>
  </si>
  <si>
    <t>"Magia y secretos de la mujer mapuche" de Ziley Mora te invita a desvelar la sabiduría ancestral. Explora la mística y el poder oculto femenino que conecta con la tierra.</t>
  </si>
  <si>
    <t>Zolla Elemire profundiza en Los Místicos de Occidente II. Un viaje esencial por las sendas ocultas y la sabiduría esotérica que forjó el pensamiento místico occidental. Descubre las claves de una tradición espiritual milenaria.</t>
  </si>
  <si>
    <t>Ocultismo General</t>
  </si>
  <si>
    <t>Cábala</t>
  </si>
  <si>
    <t>Filosofía Oriental</t>
  </si>
  <si>
    <t>Órdenes Secretas</t>
  </si>
  <si>
    <t>Astrología</t>
  </si>
  <si>
    <t>Gnosticismo</t>
  </si>
  <si>
    <t>Wicca y Brujería</t>
  </si>
  <si>
    <t>Runas y Tradición Nórdica</t>
  </si>
  <si>
    <t>Magia del Caos</t>
  </si>
  <si>
    <t>Hermetismo</t>
  </si>
  <si>
    <t>Satanismo y Luciferismo</t>
  </si>
  <si>
    <t>Misterios Egipcios</t>
  </si>
  <si>
    <t>Rosacrucismo</t>
  </si>
  <si>
    <t>Español</t>
  </si>
  <si>
    <t>Inglés</t>
  </si>
  <si>
    <t>https://mega.nz/file/iMtTVJhb#aBO3R2C8VOuQ5R0J8ISI_opN8YJyvJO8xMQlhdHJpG4</t>
  </si>
  <si>
    <t>https://mega.nz/file/CYVAmQTI#zjqWdRU25xMsorpaKJNlovpxauOfNGs8gOzOK9wh-PM</t>
  </si>
  <si>
    <t>https://mega.nz/file/uBknlJha#1bN6TxEacVFX5GPbJ14XclkPz_DzCFM6z9uXHvfDSXU</t>
  </si>
  <si>
    <t>https://mega.nz/file/2BVRWIRD#OnD0Rv6pGzN-VWYHFGh6koKP_q_AXIhcsCrQrXiseZc</t>
  </si>
  <si>
    <t>https://mega.nz/file/2E8E1DSQ#LzdVS9g9H0W01TayQtZILqOUHUvfzCQfAMBNbKQUA9o</t>
  </si>
  <si>
    <t>https://mega.nz/file/uEF2QARB#BN4pyU1SJPj5HgOzCJLC_Mfvt3Y3aN4G7TCEjIgr-e4</t>
  </si>
  <si>
    <t>https://mega.nz/file/fA8xHYxR#gjv5ZoDxeF9duLQ00BgqgtJ76cNHnYDMSwvuop354lg</t>
  </si>
  <si>
    <t>https://mega.nz/file/XR0UmISQ#9hjGVHusaNKTA3dWcxb-U7RWfysKpfFGctBC1xNTmtk</t>
  </si>
  <si>
    <t>https://mega.nz/file/6JM2hCxa#GZpljOJ_2doJEC01z3iJSGqZ2JZ6JxnJlSI7ugX-AvA</t>
  </si>
  <si>
    <t>https://mega.nz/file/rA1GzZwS#ab3cXG46Rqo6xSZm5hzwE-Z6I-NqBH9ubim0GEIa5Nw</t>
  </si>
  <si>
    <t>https://mega.nz/file/PB8H2RjY#K6ghj5DnwM0zp3YyhT9JKP6eQwFR6ed-8X7itmQPkXM</t>
  </si>
  <si>
    <t>https://mega.nz/file/DcEinKTa#iNy_nVaHpHx-1K3zutisKAS8cUAgweib-T9GPAztRx4</t>
  </si>
  <si>
    <t>https://mega.nz/file/nZ13hb6K#OvTI1JfYUT4lu4ksB5gCbMr7hz939uGSFBw5bEZyuis</t>
  </si>
  <si>
    <t>https://mega.nz/file/LcFQHBIC#WT0dJUlSiNo6TdwZpwd6rRjmSu9894U5ZlA1dujrZZ8</t>
  </si>
  <si>
    <t>https://mega.nz/file/7MkQFCKJ#GLaeu7Lw13cdjuJiI1h-lX15zq2OLsN5uE7v4q08068</t>
  </si>
  <si>
    <t>https://mega.nz/file/uJUDgBCA#nG0_dTK_-IUZ12yWbaUaDA70btcXjWOS1vN_huQeO2A</t>
  </si>
  <si>
    <t>https://mega.nz/file/LRUFQQzA#WZACpGlAF3CDi74Pr7EhkDcWywEYM0yEGOrNUy8Khh8</t>
  </si>
  <si>
    <t>https://mega.nz/file/WZtGBZ6R#Vxc63LYDnOAUBcWBiXhy8_w3NRW9ulnStECHWq3LwF8</t>
  </si>
  <si>
    <t>https://mega.nz/file/bM80WYzR#k7uyBDrnaKn0xB9dYS11WnGdlNGcog0ba9CvqgBqt98</t>
  </si>
  <si>
    <t>https://mega.nz/file/TUFh0TLb#F9Ki_Lspa7__zDiY4hs8VfirwJ0vhwnts1aDW1RpuBY</t>
  </si>
  <si>
    <t>https://mega.nz/file/aB90QYAa#hKPbF3Kfl0qBd_2HCWoqY_z8hRcb5gKwr3FNeBNoFQY</t>
  </si>
  <si>
    <t>https://mega.nz/file/fNcXhIJD#9mQeF9YY0zOHA1ycFm7r8tw677nEjcGxT-1pIKj4qQ4</t>
  </si>
  <si>
    <t>https://mega.nz/file/GY800Q7Q#-0QM-agnYtBu2ftAuo7VuJgG57YwEZOhKfy2WmIhnw0</t>
  </si>
  <si>
    <t>https://mega.nz/file/iUkwjayY#0LOEnkznso1OUcsfEpJK1Ez8U93YXvSzUIsDGoKKE98</t>
  </si>
  <si>
    <t>https://mega.nz/file/uUcHnYxa#VGmJfAspREDiqXutDPpbEo-Sjm0Bi8sPBxob2GKGXHU</t>
  </si>
  <si>
    <t>https://mega.nz/file/3M9CRA7A#8Auvfe9GM-PG6x-g-qRYc3Dc1-tPwuGTvxBXWyPUFrY</t>
  </si>
  <si>
    <t>https://mega.nz/file/vMkiHDjC#LE1WxOtRQTfNWw9961ESE3x1JCQQKfuTkC78tqaPtt0</t>
  </si>
  <si>
    <t>https://mega.nz/file/qVVzjbBR#ZrmYYuBuI6ZXNNakEeYWAnAL4qv8Y3ZZTmUPdPFn8I4</t>
  </si>
  <si>
    <t>https://mega.nz/file/rYFVALTB#Y1q4_MsayDYkXFZWyqhGf-Q5WAL8HDBqxHqIBWKhKo0</t>
  </si>
  <si>
    <t>https://mega.nz/file/CEFQgTDY#GtU05T-LqQwBei0Ra2XS3hecXIU6Ciq0uur2FUS1a-s</t>
  </si>
  <si>
    <t>https://mega.nz/file/TBUi0Q4C#X2qiKbwjuHx52eoFw-bAzEQipUh1Wg7arpceDyoaYQc</t>
  </si>
  <si>
    <t>https://mega.nz/file/KZdRQYTZ#uxB5ht9qoC8MzRS1yibqKKazuab5PD2Hft9RX_LGrEE</t>
  </si>
  <si>
    <t>https://mega.nz/file/TJ9nVSrZ#URVDKfu0xBg8pBYctvnOBuKJJ37kO7SC6te17szss64</t>
  </si>
  <si>
    <t>https://mega.nz/file/GREmEAbK#APcVI9lbMMUasR6f46rK-QUyVUimyEou7U_YA_iWqYg</t>
  </si>
  <si>
    <t>https://mega.nz/file/7dszUBaL#EHfWSC8UwCgdMP-yTB8VoVRPUB_dx0FxkF1HRUXssOU</t>
  </si>
  <si>
    <t>https://mega.nz/file/CB8jVaIC#2Gg6HQpsv_MwDD0YtyPkRH7A-pJDLjifknezZbZqJzo</t>
  </si>
  <si>
    <t>https://mega.nz/file/fcEGGTYA#LV1fA_9JWjXll_cUCWoLOVSuYcV0CZwbh0wQsiRpKKU</t>
  </si>
  <si>
    <t>https://mega.nz/file/nQlGCAwA#bYYrZ1tlurtxFLURJpjkGDhlrdbFJ0ZfbowRagdFyL8</t>
  </si>
  <si>
    <t>https://mega.nz/file/Sckg2bCA#RJOAAojUfXD5hyODpOsPc6yWEgHXvi0KMHBZpPod_zs</t>
  </si>
  <si>
    <t>https://mega.nz/file/zQVTCJqI#Tx_ololsSohsK4wmjlHsoU792ttvBmP1KOiZTinU98k</t>
  </si>
  <si>
    <t>https://mega.nz/file/LYs0wSrY#tCspWbo66_eV2mP8z2z4RMiEqsp3QGE7P6DJmrwjS4E</t>
  </si>
  <si>
    <t>https://mega.nz/file/uMk3VSKQ#HxjBsjl9IkdIwnGQalszGO1qNIDRMvCnnolEHYRLqKQ</t>
  </si>
  <si>
    <t>https://mega.nz/file/2ZNBSbRI#SqzvpfmvmAV81ULVdpq-0k-t6OOjlPYtbnHh702FZkU</t>
  </si>
  <si>
    <t>https://mega.nz/file/bAsjBRzZ#hRlOt7MTID-XmDoNGolgBpYPw2z98FDiqCbVRtbGYiQ</t>
  </si>
  <si>
    <t>https://mega.nz/file/yBMF1SxT#CSzchubM8m6IRpbG1Lbhna630V09NO1gZjPYhY0L_Qs</t>
  </si>
  <si>
    <t>https://mega.nz/file/CIURXIKD#t1iI88Li32PjysCuPu61SJnJO-XDSrFs8qmduIBYq0E</t>
  </si>
  <si>
    <t>https://mega.nz/file/HZFHhQhL#KPekJKrPgkzbD-RHw8lcEWA4tQGdlpt-BQ8mSItx3Vs</t>
  </si>
  <si>
    <t>https://mega.nz/file/LQ8CSLhB#ztgJAmlNR02PtulxaTS4iMEfSmwFHoqHWWLDvTYdcys</t>
  </si>
  <si>
    <t>https://mega.nz/file/fI9QjSDD#f9Y7PyHuWHeBDZnNHtHXx2bySNPFeL2JgzetfhD6Xpw</t>
  </si>
  <si>
    <t>https://mega.nz/file/fQ0VXBpY#-9YBYEaf2x8FMe2sdnvj-qDSeNiWZ5H9XQ-zL87-ddc</t>
  </si>
  <si>
    <t>https://mega.nz/file/CNM0kB6A#jakzNdMbGzpJokTXxZ6aYIc9DbtUfUVddSWcJRddPMs</t>
  </si>
  <si>
    <t>https://mega.nz/file/udU03ZZA#S_zB1sVePLQZ_lOEiZ1-EW0FC1crp02XgvIAKd6RTXs</t>
  </si>
  <si>
    <t>https://mega.nz/file/vNsiXb4L#RaRq2RDNvOfpQMgH32UYGUy5NIFlkgdNi5wqIqvmERc</t>
  </si>
  <si>
    <t>https://mega.nz/file/vNdQXagC#Ox4-vElkO7B1aFOgUE2-IDmamWwNgoeJdtRrSp-j120</t>
  </si>
  <si>
    <t>https://mega.nz/file/3VNxCATL#4GnkYA3p7FAXK0GjSOnXc3gLik-9R6TPjS0n0ldmpTQ</t>
  </si>
  <si>
    <t>https://mega.nz/file/Od1WzaYJ#RKr4RsehjRDsUB27ivuJIetz638pnMcSZQWqv1HQygc</t>
  </si>
  <si>
    <t>https://mega.nz/file/DVUzgbRQ#8BF2n7GkjE4om6XbfyaaLzxmmU7cVh3HyycfIR3JC50</t>
  </si>
  <si>
    <t>https://mega.nz/file/eY91nIyJ#Ckz6N1oS9vhq6uNWpNTK-79kFFSRI1SDNDbDPmqiGmw</t>
  </si>
  <si>
    <t>https://mega.nz/file/fANUSCRL#bvOomeoxWN1fo8a3GBorBkM6jxD4q-NMzytvxJw-LiI</t>
  </si>
  <si>
    <t>https://mega.nz/file/6MFG2K6Z#q4WHCqKpyBRQs4AB8IGM6QxvGRJgDOLG3MgXzbryYWQ</t>
  </si>
  <si>
    <t>https://mega.nz/file/XBFzUILA#q-hmP5_Oej5evBrjD98Miai3xpYGhUiOD1i5WR8sptU</t>
  </si>
  <si>
    <t>https://mega.nz/file/jAM0XbDC#dLJL3XyndP1xT0Jjvsyisn4nOopDwagxOQ7yLUYTyA4</t>
  </si>
  <si>
    <t>https://mega.nz/file/SNEHGQ6J#idPvwW4gHsHs2qOHr8oSGnOMR_KFO5RvMW0TlHxbdP0</t>
  </si>
  <si>
    <t>https://mega.nz/file/PJdkQIgY#oQaZVw9Cxbh-sL9JK1pzB8DN4Dp8NN90ZNP6QsAEnuY</t>
  </si>
  <si>
    <t>https://mega.nz/file/zc8Gxa6D#8xAdI8ZQO_nG6jJEGHBkO_2pb3fc5g6gwYPZuYu8O_4</t>
  </si>
  <si>
    <t>https://mega.nz/file/XVUnwQzC#d6jOjB6ExAUIs9WkrUg7OoeN2vTh_pHaW5czTlZc9Pk</t>
  </si>
  <si>
    <t>https://mega.nz/file/jVMCzJQT#rSdRjrzuq_2bzmTxpFp0paXxo9WS4KKQ5eqNhWoMCMA</t>
  </si>
  <si>
    <t>https://mega.nz/file/DYV2ka6R#Aur5FTzdx4s0acou1yoQkJ3hOQYAIbCJLt9qwjE8EfU</t>
  </si>
  <si>
    <t>https://mega.nz/file/qZtC3IpZ#xBLtkRHYG1qxA6CjNKSVfpe4db4MZYuO3w0lf8LyRRI</t>
  </si>
  <si>
    <t>https://mega.nz/file/qUdXjQxI#vNDy2bngSxkF28orL0kVOITPjkwEuDWCEdInN4AjA7k</t>
  </si>
  <si>
    <t>https://mega.nz/file/eAMkTbAS#9V9-PUII4G2EhBEY4tRxCf6TU63gwjPQet1v7Xhloe0</t>
  </si>
  <si>
    <t>https://mega.nz/file/mJ8ynZiD#P_WAfW5ruGSnRv3sUMxajbgRTwXivogsC_yHM4-VfAg</t>
  </si>
  <si>
    <t>https://mega.nz/file/PZ0mxYCS#XxKv7UgmlQsIjdpWFBTp3K1DAms_CX4yInbXHXCQ2CU</t>
  </si>
  <si>
    <t>https://mega.nz/file/KVcWQKLK#XVs-Kyq9uwDKW1e-1o2YPfrT-iDmeEGIiG9PfemO9Iw</t>
  </si>
  <si>
    <t>https://mega.nz/file/PV9E1DxR#xD7dpUl1hBGR-7sLCkaYRyJHvgrkkdH5j4gcUrKUqKA</t>
  </si>
  <si>
    <t>https://mega.nz/file/nJtjGA4Y#Ib56aWGcULbtZfoeat32OwTFVESHeDUzy3BFbZfU1EE</t>
  </si>
  <si>
    <t>https://mega.nz/file/OQc2hT5T#ZPcz8m00wx1iwOeLTJRkEHyXFL6BpJKNrssZoHnUrvA</t>
  </si>
  <si>
    <t>https://mega.nz/file/Hd1EWBKC#gFZ2XIL5y59vgWHM11MogMTIHahGjCJRmcK-X_I_fuo</t>
  </si>
  <si>
    <t>https://mega.nz/file/rYExgYJB#GlwmWmhR8VtCKEDmGrDo6Cq-C4XNK5gFIzHLKJq4RjI</t>
  </si>
  <si>
    <t>https://mega.nz/file/yM1EER6R#LJSBvCwA6m52Alei82XUbO1fOvEwHQdfi4bZtqwvOuw</t>
  </si>
  <si>
    <t>https://mega.nz/file/LZ82iRoa#A8QFDSVGslETxMm72vrIjzShGX3buLB8XShs_-iDqMk</t>
  </si>
  <si>
    <t>https://mega.nz/file/mcky3KQC#ntvrFNEg6HZfmmQNC8Q1ME7GZk9SSsjrwWLjw8QDoMA</t>
  </si>
  <si>
    <t>https://mega.nz/file/CMERVIBC#_s8JxXnLpeTp6KdSoqzlrZUkc7PFRczU8Q_R1QHaUUc</t>
  </si>
  <si>
    <t>https://mega.nz/file/OIMEhDSZ#PryXuU7H3EQKQ46On5dIN0_1rOuN2R0PHZWDLjNyHWg</t>
  </si>
  <si>
    <t>https://mega.nz/file/WdUkkBaT#nKzHdP1Ytb75tD03Ka9NqFeVAYhsSsLqDnLSE3WtZdk</t>
  </si>
  <si>
    <t>https://mega.nz/file/DNsWQJ7A#tXXioNpE86qIN1dlHa0YZOJT9xWW_42XOSri9y7cESU</t>
  </si>
  <si>
    <t>https://mega.nz/file/OcUFHJzZ#GZd_zQrAGN73Vo91taKoWgnerc_dsvxuGf7mhdBdjIc</t>
  </si>
  <si>
    <t>https://mega.nz/file/OFUGzbbJ#QTRYOL2Yxs1m1vHIFy0JMIWed-0bHhWgW_UAdEJtdvc</t>
  </si>
  <si>
    <t>https://mega.nz/file/WQcECLaC#hh8X4tQAlReymHkxdur8rpVRSaK2M-AS9BseuE6pNbc</t>
  </si>
  <si>
    <t>https://mega.nz/file/GdMVkSrC#mIPaSMKZWYeb2MYzjkRD3cpDpNKuBxHAkTtPuTbzNCk</t>
  </si>
  <si>
    <t>https://mega.nz/file/vc01UZiJ#l1y2H1CYVQo96QgGfgqNPhQMK1E_S3BItk-UofPL4fg</t>
  </si>
  <si>
    <t>https://mega.nz/file/rRdwXaoa#ZfGm_xLEcglGvNrTatIxfAT4XpJDZ7zHxLpIMyayIHA</t>
  </si>
  <si>
    <t>https://mega.nz/file/rFUV2CiC#h5Fb6YK5-gZ1fARdV4CehVTNMNvXdFUVxhF6C3Ny4uw</t>
  </si>
  <si>
    <t>https://mega.nz/file/HUlDSbwD#Z-PX-75WJWurznOlmA4FMf_c-qLrGHxUmOIICM2txrs</t>
  </si>
  <si>
    <t>https://mega.nz/file/DQVAUTqR#jLshSfi1Wha4h2AdOQKdlbMrDS7iOEcWOto9Rt99osU</t>
  </si>
  <si>
    <t>https://mega.nz/file/uUsAlSzT#CzNTSaceebtQmvJ8qbumD62WTL5EH3UedpxS40l-J3g</t>
  </si>
  <si>
    <t>https://mega.nz/file/KUdABZ7R#24ZG2pjtcyVkK6KOWs5t2FwocUcwM--dP0PNDQlDCaA</t>
  </si>
  <si>
    <t>https://mega.nz/file/rR1VzJLK#a_g_7PKAHkGcJlB1EbzABusS8ouWRT63VR-ukwbp-uM</t>
  </si>
  <si>
    <t>https://mega.nz/file/qREikBqK#VfSk4Cyhd1H3Y4osLU27wn3uisnNgQkQKxc1U70yLW0</t>
  </si>
  <si>
    <t>https://mega.nz/file/HRNGSKKJ#a9jOMSRVGGvILvRq786TAciEbdmIpH9KKQSuTA0KdQs</t>
  </si>
  <si>
    <t>https://mega.nz/file/HNN3RB6a#lp5-vus_TKY1kb6-292OxJ9WuFKfWuoCv4IR6OTs8Mc</t>
  </si>
  <si>
    <t>https://mega.nz/file/rYl0VIRL#zDmhTgQp6vytoBPZ5k2uRVvvWgG5Znps0KoV3SyRWf8</t>
  </si>
  <si>
    <t>https://mega.nz/file/TJ0mVSAL#gDY1Sonsg_R8Ten6McT0dn9EoPMxka2iy18pQJguiPw</t>
  </si>
  <si>
    <t>https://mega.nz/file/SdlSQQJK#oE8aVbu3lPN1OQ19hUu3k6KRL9GWXZ9DaNhGDx_KEBw</t>
  </si>
  <si>
    <t>https://mega.nz/file/iRcwSCpb#nSor8LxPYFnavn1aRy0mpSDnq3IS81pz4DvBzElWB2g</t>
  </si>
  <si>
    <t>https://mega.nz/file/7ZU3XY5C#WMoZ2lbW244CNEC6vJoIt8qMUUWzbgrTBtATxEa0fyE</t>
  </si>
  <si>
    <t>https://mega.nz/file/bMNiFTSZ#QZDlP5pZBxp3nm302tDsliVvZVQ37tiqXqTfHgzeAts</t>
  </si>
  <si>
    <t>https://mega.nz/file/3A00jbzY#D9cfnQnk7Q4EXRE_t6d5Tbk4GnRzDwR-lJCLtfGR484</t>
  </si>
  <si>
    <t>https://mega.nz/file/PUMjhDDS#tgdIwyXaeNe2dRnn7brqSmPL3HZ3n6D1XGQL8nER0Xs</t>
  </si>
  <si>
    <t>https://mega.nz/file/qI133DaL#dLH_2Si78bIWtsbj3_sMmWcVpETO7OiWG0lyOsopdhw</t>
  </si>
  <si>
    <t>https://mega.nz/file/XYl2QTCA#9W7Zq9cRt_VJCuA8JN-H-2loeadXifuuRKqcclBD0rM</t>
  </si>
  <si>
    <t>https://mega.nz/file/XU8lgbjS#PFQdIySZgxIjqCrd37nFAx1QC2nhW-b74LA8Uu8Pevg</t>
  </si>
  <si>
    <t>https://mega.nz/file/iRVE0ShB#0VHiJcgTqiUOhm9woMhKK07Z5LT_cZwV5GKkEkCnb6M</t>
  </si>
  <si>
    <t>https://mega.nz/file/TN1WAKiT#5CRsh4jf2Pjz1QGaXddpM3HRzrtepzCa0jEfaGKdoz8</t>
  </si>
  <si>
    <t>https://mega.nz/file/3YFkSSQS#oirFupoj5GORHE72FcsmP_8T7RZ4O-S6z5OlATOVutY</t>
  </si>
  <si>
    <t>https://mega.nz/file/2MthRJjD#YBnfujGtNAXWv6HeycGk1lpBLr5VsoAIdmwaa87LMng</t>
  </si>
  <si>
    <t>https://mega.nz/file/ad9TnTZB#cugR-cJMc_AzwZ3Ma5uZOtGa2TFzuxN5aye04qz_-Qk</t>
  </si>
  <si>
    <t>https://mega.nz/file/acF1VBza#e7SiTuimBOAUjXXoyqpID2nKSOBctKPKPJUrkFIgAOs</t>
  </si>
  <si>
    <t>https://mega.nz/file/KFdBSC4R#4nalP9rWgZyDp_DFDLzT5TJsfGquXcj1NDPAwYgfRqA</t>
  </si>
  <si>
    <t>https://mega.nz/file/DE1hEbIR#Z79gVU_DdSJue5vy5E-iyKDhQthRT-_cvvKToP4qvcI</t>
  </si>
  <si>
    <t>https://mega.nz/file/uE0yXYpK#INmRDRQS-9jchXs1IsyIoysg-iTcS2qKNvEQeGNFyag</t>
  </si>
  <si>
    <t>https://mega.nz/file/2UFCQZyS#ds1_IjIOehrc7GUraJcIkj3KaGKHZ2kAhUP1XZGkhgM</t>
  </si>
  <si>
    <t>https://mega.nz/file/bJNjVbob#Gwcs7DLB2TiFcnO0UMidLZIwWiQ7-4WQVXcc4bfG0gM</t>
  </si>
  <si>
    <t>https://mega.nz/file/fFUQgaaI#TqmaocfvyJMu2_cufqD90va-ERqzRSlpJHPmIcaQIQc</t>
  </si>
  <si>
    <t>https://mega.nz/file/TJkSSA7L#Slk-KZIK4XBsdgvdvmzsGoZXwvZCSr3Udl7ojyETZaE</t>
  </si>
  <si>
    <t>https://mega.nz/file/aQFGDAJK#MGZO0KVFRceZggn9CHhKlje6k4ok2UAEWVIkHwNTbRk</t>
  </si>
  <si>
    <t>https://mega.nz/file/LcsgEZgI#03eZ9Jw7nvz8qzruQPKd6g8dxCbom18JkgUMpCIO_WI</t>
  </si>
  <si>
    <t>https://mega.nz/file/rV8SjABI#22F8Ib0e5uQKcv2M_fBOcuwP0U7WFLzLcwQDgqGyGGc</t>
  </si>
  <si>
    <t>https://mega.nz/file/qcdmQTKa#D064BQmVs__hfYSTJJPCxpWFe_txTxq3pkPg4hI5h6o</t>
  </si>
  <si>
    <t>https://mega.nz/file/OUdhhKAS#NCn4ess8hWl2k3h69evY7hGhayo1--HhQh1_Ahc9VcM</t>
  </si>
  <si>
    <t>https://mega.nz/file/qZNHHZAI#vLziYyahYPlMhBdjfxgegep-WdyqQizIUmwGLM9l9xQ</t>
  </si>
  <si>
    <t>https://mega.nz/file/vBFljBZR#lQCAjZGYRc6EsV6-E3jgjTQcCCyy8OH-N5fxtcEJqtw</t>
  </si>
  <si>
    <t>https://mega.nz/file/TM8QCIhT#yoBhQ-XYrhIm_VKrLYm-lURx7iNCxE4lVfW0Jhnymx0</t>
  </si>
  <si>
    <t>https://mega.nz/file/HU9llIJD#20os9l6JHw6267LrAYDjc1QSXTWoHvZeXliwdvEGIm4</t>
  </si>
  <si>
    <t>https://mega.nz/file/HV9iVQ6C#-qxF3icyWHasViOdaTaNXMMOBm0rnq4asa-hzeGv-nI</t>
  </si>
  <si>
    <t>https://mega.nz/file/TR0BgTxC#EqolglFDwu_Ua01zK0c56iOUB63kjfHU5P-BEC9sNao</t>
  </si>
  <si>
    <t>https://mega.nz/file/aR9XnarT#v5JR-jlJPg1ZjkLNQG_yDc6E8edg9HGdBWqzixEdjY4</t>
  </si>
  <si>
    <t>https://mega.nz/file/TJdADa6B#sShMwjvxxC6r4jA8243MKB39zfnFNgarjvRrcLzDMfM</t>
  </si>
  <si>
    <t>https://mega.nz/file/rNdxCb5J#GGNIG6KVTz5SLxLfQMPl_053W0U1xRwWgl_KE3RGPXM</t>
  </si>
  <si>
    <t>https://mega.nz/file/6IVTXRaJ#b9-vdvLpqDFgo3bzKu_V0ODGtg81UKr6rpIXvuKUQUU</t>
  </si>
  <si>
    <t>https://mega.nz/file/mEkn3YqD#LPiAliTYv4wNuO430yhktjGoQI-PHTwVLGTnVu98M8M</t>
  </si>
  <si>
    <t>https://mega.nz/file/uJNGlD5C#z49f1ZxBNtfkI05c1NR7SuSEt5Mw0M4t_qujR3EPTME</t>
  </si>
  <si>
    <t>https://mega.nz/file/DVUCCJYI#z6aoQNlK2nSMJGmbuZ1NpdBwTLag1HUtlTlTz9q5nhc</t>
  </si>
  <si>
    <t>https://mega.nz/file/DclikBgY#eE_DAsW1v_n8pocVIMm0iTbemVEMGlfqQbvjT-GAqGk</t>
  </si>
  <si>
    <t>https://mega.nz/file/eV8izTRa#XHTuwMH-K_nYiSE_Nz41LuiKlJEYvgyND4hxEqnOjxU</t>
  </si>
  <si>
    <t>https://mega.nz/file/rVFQCbDY#laUjjywD2eCj3YqqcQ85NDRbZvqi1Py2v4WHoSNPpPk</t>
  </si>
  <si>
    <t>https://mega.nz/file/vEFVFQAb#LkE0iurmopQ7mv8IMfhdt5wojFlZ0XQDKqoCJ2eLBVc</t>
  </si>
  <si>
    <t>https://mega.nz/file/HI0hhbLZ#Qs7UKSRabSvTaecixQsTW_Vlrjki6h-4T4lD2pufKws</t>
  </si>
  <si>
    <t>https://mega.nz/file/3F1xjLSa#m_oSFkuokXBeHyvAOubeZcRlqw8jzyQoM-z1ukYRIYM</t>
  </si>
  <si>
    <t>https://mega.nz/file/7RcnQTIJ#y28m6_rex5WOobRXIpKrT5uR-tZ9QCsNg3sk5LweNE8</t>
  </si>
  <si>
    <t>https://mega.nz/file/XElBhIhQ#Wpf2RBW0V1xyyzm0PbFSBvycfcnbOgbWh8Mx67d-Pn4</t>
  </si>
  <si>
    <t>https://mega.nz/file/jBFF2LKR#RjEZDfYIhLH4xGTW8Zf7qPOF-YXYUvxKaP3mkBZo74A</t>
  </si>
  <si>
    <t>https://mega.nz/file/qIEEyTSA#WKxUXaKN8AGm77LyfaX3XklksouIf8YopYD8fc-tMiE</t>
  </si>
  <si>
    <t>https://mega.nz/file/WJFiGDRL#FoNTJHghjt921skpBbCPdIJ6EuVyh5IIV6BWr9ct_sM</t>
  </si>
  <si>
    <t>https://mega.nz/file/DBFkVRiK#Jm58eb0SamQwuGQaXQAA_enpIlLryAFnH9BGoFa2B34</t>
  </si>
  <si>
    <t>https://mega.nz/file/6JEFyYpB#61mvEUviyix3jnZ1nbxXEUWtWn6eN2lL12mzlZ0qZvE</t>
  </si>
  <si>
    <t>https://mega.nz/file/7V0GnZhT#9oiS8OMBE2wBxwNJVYXC7YmgfOyNsGQFo4LLkPO4ewc</t>
  </si>
  <si>
    <t>https://mega.nz/file/CBMEELpC#tC5R1GPFGGBMC_VTkj_J1kQGXcZMwmViMXvons_BMGU</t>
  </si>
  <si>
    <t>https://mega.nz/file/GBVCFJKZ#MItOTZup-r-2RiByoQ4ZI8jYCy1Rh54N-3MLvUt7d3E</t>
  </si>
  <si>
    <t>https://mega.nz/file/vAE30AgR#-Kj-GMvLhEF4xzFcgWF3rIyFr9hD0ly2old92--3RDk</t>
  </si>
  <si>
    <t>https://mega.nz/file/WMVkWIzK#B8F6-J-qpmMWSYvwcRqvyxtOljq3K4mjRHwjRRZyGN4</t>
  </si>
  <si>
    <t>https://mega.nz/file/SRswRSYR#jz7mSSzFblKtKw_zA5jyFoyjehu9P5qUq-QAVDwyqo8</t>
  </si>
  <si>
    <t>https://mega.nz/file/rckCwDCA#ASmBos6B8-NBO0VECQ-B5S3yg5Yyz_9rQ7F6uvjOHTE</t>
  </si>
  <si>
    <t>https://mega.nz/file/jYd2WIyL#k3Jkl-KUE-tLAwJeZySqd8jiuhhELNBUiSYqC28xbRY</t>
  </si>
  <si>
    <t>https://mega.nz/file/yc9BgYYa#6kHK1Geu06jMbyT7-r4tvKNIoFKyUqqHSzbuvDobYm0</t>
  </si>
  <si>
    <t>https://mega.nz/file/LM9CXTab#_r0J85XTaOFAaerer2Edv2qtRokLN3Tl5MWUflHC2l4</t>
  </si>
  <si>
    <t>https://mega.nz/file/fAFHnJiA#p6xqg7Rx1SvnDG9tVsCSJFW0KeZjJ9uwryUpo9dW_LQ</t>
  </si>
  <si>
    <t>https://mega.nz/file/iU1FmDKR#mGTvtM_hgW7VYiNNrBytBmc1hYBfpVFckM2q5DvZtuQ</t>
  </si>
  <si>
    <t>https://mega.nz/file/ad1EwKQS#1_uXxM8cJqkatM92g1Udk8vSFrVlVQntrhSxQ_8zGrA</t>
  </si>
  <si>
    <t>https://mega.nz/file/aUE1SLoY#Ma-fNfheJikUKRlnQ6bbY1CJegJ_DAdz98s4wRvZ6iw</t>
  </si>
  <si>
    <t>https://mega.nz/file/Wd1iwDpB#hlgySsIGTZYhYP2WLDK3JuXH8p5Vyg275OsEQoxHTZQ</t>
  </si>
  <si>
    <t>https://mega.nz/file/iBMERTKb#WonHy4eUqa9IjoYC3t9nWlV7I59yYbweDZFDXFD4wms</t>
  </si>
  <si>
    <t>https://mega.nz/file/DNtmjSbQ#sLoUNWForGyTnPn8_fCbszq1e3_KKhVlFlwvxb3ufCw</t>
  </si>
  <si>
    <t>https://mega.nz/file/aNUHzDpb#SMt652D8MkvZLGJwouvc-gawF0uHC3Ca9VmQp4nqVBc</t>
  </si>
  <si>
    <t>https://mega.nz/file/jVtwkRxK#jUre0-R6rFgJazYxYPRIyUj5t-ojn9qvoSYj2iW2GnI</t>
  </si>
  <si>
    <t>https://mega.nz/file/fEcTjQQK#5Tmf3K4JdbyH-sG5qHzbObeVhHu213133aMCMjgFTxM</t>
  </si>
  <si>
    <t>https://mega.nz/file/PFM1gApK#I3m3I8coevpnmx-t2imXfO7KKmYdkVRFoD9O4wCdi30</t>
  </si>
  <si>
    <t>https://mega.nz/file/CRljySCK#zfEgJa-f2squ1WLsc7oYC4dxal4HVRgkaYLumH_3xBY</t>
  </si>
  <si>
    <t>https://mega.nz/file/bFsRQBqK#OB5aTGEefbI0HjhAbZg6oMnuzsZ4T1opZpO5AC8twNs</t>
  </si>
  <si>
    <t>https://mega.nz/file/GZVhnbAL#3DtihheGJHeZnqyeOjS371ATYCM8SpN2I2UQMyICa_s</t>
  </si>
  <si>
    <t>https://mega.nz/file/HEtxWTKR#rar6e0lV6uf5afXg-gIw6R3hypLMi_yzTPEU-LNv8M0</t>
  </si>
  <si>
    <t>https://mega.nz/file/aVdVkRob#meqqd-5xn3ceiJDR0la50MGxZz7DSxTcLz79abL-JQk</t>
  </si>
  <si>
    <t>https://mega.nz/file/LBkgBIDA#zJZAsWAVDkb51DS7yD-3j95cSgeVbblV64GOYtNEDYs</t>
  </si>
  <si>
    <t>https://mega.nz/file/3VshTKLZ#E8lry3gko-MGXouM2VIX44iVDYx2LRk6WLC1CVJf2bg</t>
  </si>
  <si>
    <t>https://mega.nz/file/GV8n3LrB#d6sg0kg0XVrMgSJ-few5FhfFGQR8lZDO8G7YifMROgQ</t>
  </si>
  <si>
    <t>https://mega.nz/file/uNcXzbSJ#5mmQY-iwKWNZ8568IR7TIGTaAbmL0qVd9m_IhKkUKOw</t>
  </si>
  <si>
    <t>https://mega.nz/file/nd9U0ZLJ#5VtuuKoMuQgpsF-m4-dR15aCVtRYLxZ6UulKZwNa_CM</t>
  </si>
  <si>
    <t>https://mega.nz/file/OQMBjZZC#acVDBjLwNUZ20S49RJ919lpZxsnAtySvFkgFI3gGbgY</t>
  </si>
  <si>
    <t>https://mega.nz/file/bM0xxCRB#BvcGz8SzWl16Vm2e-WHGvM0p6dzkOR3-CE16gf1GDO0</t>
  </si>
  <si>
    <t>https://mega.nz/file/bB9h2TBK#Y-Zuwtd5fvbiJYafAEpjzIfFK1lQEMRHClPIzahE1Fk</t>
  </si>
  <si>
    <t>https://mega.nz/file/SZFygSib#jpe9tJIJGDIQZi9cXmrOHA_34799NjkJAjYCRljGQLY</t>
  </si>
  <si>
    <t>https://mega.nz/file/rdkWiD7T#xz2sSELwhX1zXtC_BZfwGGJE2IYRvE23EoLiZWQwRQU</t>
  </si>
  <si>
    <t>https://mega.nz/file/jctDnTyB#WrMuA90CbByLxazodQfJfmAduMtExbyzYdOZ9ZPp7xg</t>
  </si>
  <si>
    <t>https://mega.nz/file/3YUBBaIb#dTuuxIT4gOqO_TZX3kA8Crw7JJgKXdlst6uvLtmBejc</t>
  </si>
  <si>
    <t>https://mega.nz/file/nMFjlAhT#9okpfb3FM7YQjDJkZmHLZP-2AcTe6gyVGIrs5bsgMV4</t>
  </si>
  <si>
    <t>https://mega.nz/file/OQFTQbxa#669ffQg6tT-22dEzfjQ82W1Mzdx27UE0Ak0eT6yAxNw</t>
  </si>
  <si>
    <t>https://mega.nz/file/PAVFEZoY#eer3dBh-Rvi1K5eTyZOl_c0rH-qw7M7-5k1aj3r1gA8</t>
  </si>
  <si>
    <t>https://mega.nz/file/TJtW1b7K#b2DOupqDHulju7CHRRos71cuak8qHHTtJwNKNJHOHnY</t>
  </si>
  <si>
    <t>https://mega.nz/file/bd9g0LJS#kxQX0PkjPldWzT2rP9Z4-pkNg9Z2O0gl9wCJ5ij63uA</t>
  </si>
  <si>
    <t>https://mega.nz/file/zNk0RRBD#4gw-g-69zkNN5IFxWdr_qTo6OW43A9L-S1xE7pqAxww</t>
  </si>
  <si>
    <t>https://mega.nz/file/PI9khaYQ#S2kaQ8WwAFXPtQJVXPW4QOQv1QnnZYF0WaEOBZJi1NY</t>
  </si>
  <si>
    <t>https://mega.nz/file/eZtx3BjI#bdQNFRzcr8jqtayFpybaHvKog0mco23mXzUgjlVrNA4</t>
  </si>
  <si>
    <t>https://mega.nz/file/DR9FEQKR#zBU5n3yXSmhWWU2_Jj1nJCTHz2Ax2r049r0TFDV45M4</t>
  </si>
  <si>
    <t>https://mega.nz/file/KZ9zRAYJ#5t3IH0HwsTnJ4slDQB0SVaDz2uKwVUGLuW7_cH23XaQ</t>
  </si>
  <si>
    <t>https://mega.nz/file/2AtC1bhQ#uBnp-YYCe35w5oKoIPEaaQzZOWQESQCvLPROEYOuXOI</t>
  </si>
  <si>
    <t>https://mega.nz/file/fcM11bbC#4P3JQVlY9VizK_4eZV6oQ1fueblVlxRPCN1ftILMrSY</t>
  </si>
  <si>
    <t>https://mega.nz/file/HB1QQTxJ#ahnbG4gAPEaJkNizCTIoazd9_qgN9QeX9v8g89fA6Jk</t>
  </si>
  <si>
    <t>https://mega.nz/file/uYcTUJSQ#0BbjZwh_1Gy8R0xX49ABXGBfGZvNfHq0pJiQEeE5P-w</t>
  </si>
  <si>
    <t>https://mega.nz/file/SQMUUDqD#DxJDnKdfuQfyoRtZA3tMMOhSt4sskLLnwFjCZleI8JA</t>
  </si>
  <si>
    <t>https://mega.nz/file/rAcS2AQQ#CSUFf8kXL43hKno_JORenNp7bon7qGeuVnGiKvfL5qI</t>
  </si>
  <si>
    <t>https://mega.nz/file/iJdBBYqZ#0_mfHCgZbDRDDoMx_KGIEOsye9udMd8AsZjgdOvDPjI</t>
  </si>
  <si>
    <t>https://mega.nz/file/aVcAya5D#emej-fKUmKM9SV2mQEDH1a89uCP3lVus6PP8HHcTDVc</t>
  </si>
  <si>
    <t>https://mega.nz/file/KBlmHB5Q#pCn7tB4jDiVW-6kxukO_FysgSQtdeh-URDkS-QFWQrw</t>
  </si>
  <si>
    <t>https://mega.nz/file/CJUxlIgD#d9IuO4aTwXZvXrYB2LTiAh1KgApXcoHQGsBt0-6YW3A</t>
  </si>
  <si>
    <t>https://mega.nz/file/yF9WyCCA#cVLBR_3-CgsDcljGFuLqMmYOGRYLF2vCAXfVARPVle0</t>
  </si>
  <si>
    <t>https://mega.nz/file/nZtDCD4Q#KZV7l-9UFhOkZBnE6DfXMXU6xRd6uq4s9tgNHT8qD1Q</t>
  </si>
  <si>
    <t>https://mega.nz/file/idlAmQyC#6S4ZvPrPy4vQ4CIgsRfuVd-ahMn6HKFVGBP97-FnBsI</t>
  </si>
  <si>
    <t>https://mega.nz/file/yQlzABbK#3O6D3UVBgflILdgkh1gOFWw2Ayty0uhxc5pUQ_bzBHE</t>
  </si>
  <si>
    <t>https://mega.nz/file/CR8yWJ7R#gjSKZmMTBT6RSBnvrccDe8E-BuUEDatZUuyTVhaVwT4</t>
  </si>
  <si>
    <t>https://mega.nz/file/nBlyGZBL#HgTPT63smyjRBtLQx5LZbtlnPN5jeekDg0fDCxSk3g4</t>
  </si>
  <si>
    <t>https://mega.nz/file/rElDVCwI#LOPyGAG4L2xVyjFqtGr0kEjNsbVlwUOfOWRgESAUhc8</t>
  </si>
  <si>
    <t>https://mega.nz/file/WFlAUSIY#dEi9xRyhZzRoKUCKAnxKJrx9k3ZrNdU_8epBcTxfKMk</t>
  </si>
  <si>
    <t>https://mega.nz/file/aAlDkAxY#zNu-A5fZWWcwQ_nE5KvG9guxGQs7_ktCO_xy-IaKBUE</t>
  </si>
  <si>
    <t>https://mega.nz/file/bINl0IqA#JBLqhxKW38FMktdmTPADNw3VNymr5r6t1Jq37MdHLyk</t>
  </si>
  <si>
    <t>https://mega.nz/file/CRt31bCI#BnDCrzpeW7mQicgMmAWVY2qkh5-gEOaDuXZEDl_x_qM</t>
  </si>
  <si>
    <t>https://mega.nz/file/jQdBBJ6A#9cclqzII8XhXU2TuwAoz4MZbkKh1ojTsxQo5TAjtm-w</t>
  </si>
  <si>
    <t>https://mega.nz/file/3FlQSRJK#gLtfFY3mWsuNmPbR5_CTXTv-qMsephtvjoFnJ0MD1DE</t>
  </si>
  <si>
    <t>https://mega.nz/file/WQ0kmD7B#Bsum2TwWPPVWBf8Jm59Y7e5gYj6lk3RhON9KBDPabOo</t>
  </si>
  <si>
    <t>https://mega.nz/file/DElC3ShI#ntC-cSVqvbVH6PEQ_YQkiOTBs702oRu1xyKIojwBIxk</t>
  </si>
  <si>
    <t>https://mega.nz/file/iMMDXYKK#LaEuBKTaMvBn8O0L7A5O3K6bNvVTUCPEg4VgILKD4UY</t>
  </si>
  <si>
    <t>https://mega.nz/file/vJclwLBQ#fno8RqkCLaGV4lR1XA6c7xVl3SKgbZebKJCQbza4wXs</t>
  </si>
  <si>
    <t>https://mega.nz/file/PAFmBKhR#ppoejp7B_GjYADMdFh9cHwDmk2WE-gFPQjHOzgOKuow</t>
  </si>
  <si>
    <t>https://mega.nz/file/HI8R3RZD#FeHO2u4gpa973yAcso45Gu7oiWWn93MuQVA7jPNigT0</t>
  </si>
  <si>
    <t>https://mega.nz/file/fZdGECJC#eD6wk5v9g5eB-jTNtn1dk5s3rGg4wBmih1X46Ugx9po</t>
  </si>
  <si>
    <t>https://mega.nz/file/iU9HQZAZ#BbyaeDZdb33WnQR6teO7UPmtrdVVJe7wa-h8VpWo6BI</t>
  </si>
  <si>
    <t>https://mega.nz/file/SUlRVBaC#VnJBwS06lTFS8e4jgmjuNIACK8ElSDMGSDKWDyfCyMc</t>
  </si>
  <si>
    <t>https://mega.nz/file/jFcxjbBL#Otiy_hbupvMV24pCHQKCmwQ-MTyThD-4qlfq2NC11LU</t>
  </si>
  <si>
    <t>https://mega.nz/file/fUVSFDxJ#e6ARdnDSJ5IwA5e37r9m2jZtPisHyxQOcMXS-C0EtS8</t>
  </si>
  <si>
    <t>https://mega.nz/file/vRky2JIb#lC0nDCT6V7iy8pPpegSZ9ERrTqZL8ZjRXN-U1xjqPw0</t>
  </si>
  <si>
    <t>https://mega.nz/file/DIE3CLgZ#ShgmjpXswEBO81qwfof7k6gjnQl5lBgbj2tlmuuOhmk</t>
  </si>
  <si>
    <t>https://mega.nz/file/qIdXmCTB#gA_lPdaRLkhokxnNTC11K3NYpwiHuGryxxOpiksDXR4</t>
  </si>
  <si>
    <t>https://mega.nz/file/PF9TSCDR#DumbaVI_pRMhGDRt6TVV8lS-BsLytBxZNiSy6nQi2qM</t>
  </si>
  <si>
    <t>https://mega.nz/file/CYtV3RKL#2-3rFsULpXH5S1ZkGN4bP4u-Vgrpsjrsg8WSrn774J8</t>
  </si>
  <si>
    <t>https://mega.nz/file/jUFEEQQS#hKcQVUF1Xd5AwkHBEIkxmwZ1b8YU3n08ZqFHwSewJgk</t>
  </si>
  <si>
    <t>https://mega.nz/file/PU0VQJjL#zg6JRqZLwC74sgHJR7iNXFx80tIg0zuh9hM-LvRIxi8</t>
  </si>
  <si>
    <t>https://mega.nz/file/uc0hRK5T#beuCuGqlTLsl4Qcw1nbrl_qkfn1CWyaV8hwXmWs7d-4</t>
  </si>
  <si>
    <t>https://mega.nz/file/TcMGBYjS#qbPUsA6JVpAG8HH_silKdPk8imZJpTja4A-v_ZuQl90</t>
  </si>
  <si>
    <t>https://mega.nz/file/aNcRkAjC#kDT-brSqzEs03LxsoAEIt4LYMeHJzBIBd6CcJbr2mX0</t>
  </si>
  <si>
    <t>https://mega.nz/file/XZ0FyZBY#ZwPL7zGQbIdNT-ndcP4vQ7jIsxupRkGDhCYXv1f74X4</t>
  </si>
  <si>
    <t>https://mega.nz/file/Hd9W1ZiR#QTPPk1pv3SYY9-Szu-OzFGYu1sGcdX1Yu0mHgNiAdD0</t>
  </si>
  <si>
    <t>https://mega.nz/file/aZcTVCqK#kVvXySX9DfIDGVrddFzlSEYsXCxSHDPqut9cMKI93hs</t>
  </si>
  <si>
    <t>https://mega.nz/file/SUlGSbpZ#AoRfCwvTSJe8bmDT-_Pra6smE81u2q8hDm-uNzBz2ec</t>
  </si>
  <si>
    <t>https://mega.nz/file/GV02AZIR#ewUdwqCutCVlSKlwNX0wdZl_AjbltcAe1SxR5uaiPUc</t>
  </si>
  <si>
    <t>https://mega.nz/file/aU0VGDIC#-v2pICn4wNfMqGImhfeeYLrJlmskVdI3lxWKUN_Or14</t>
  </si>
  <si>
    <t>https://mega.nz/file/SBM2kAaL#69wg0QEaQKDG3e-KS7alym06nRyBn4speHQA9g_0qqc</t>
  </si>
  <si>
    <t>https://mega.nz/file/TUcl2Loa#AUtBBNjIMeDq50iKh6W8hK64QSX1forXu0IPOHnwQyU</t>
  </si>
  <si>
    <t>https://mega.nz/file/CU8iHI5Q#kzfvprwZW1_OUpZcWLof356c29xO9YhcpGHmkG7fZqg</t>
  </si>
  <si>
    <t>https://mega.nz/file/fMN3xBKZ#y06O8fAoimny8-MVV-Zbg2mFMViukOXX1uZ__Q8tCd4</t>
  </si>
  <si>
    <t>https://mega.nz/file/XdlRmb7K#uQQ-o4CXDzCGhwD8ufqaTvZ7urIZB3AQxr2sImUX4mw</t>
  </si>
  <si>
    <t>https://mega.nz/file/nNlmgQaL#vLR6TA9oNSiopSuYFs39VZ_w7hQzmijVstYAlTApD30</t>
  </si>
  <si>
    <t>https://mega.nz/file/aZ1VFSgK#WBD0It3J-KVxWv6XmVJwSwQ5j1N4EXmHoVNuYWUCb98</t>
  </si>
  <si>
    <t>https://mega.nz/file/qJ8lgQRK#bcaPKz4suO8wS1-qWC8tcDRhDF7VIBKlsgzCwkeJ8HQ</t>
  </si>
  <si>
    <t>https://mega.nz/file/KQdU3QSB#3s-2blYHYjSS7MZwZZtnXWv2xLwL-saN5CVEWRvWfBo</t>
  </si>
  <si>
    <t>https://mega.nz/file/CENDCR6I#_g9UpNsy3CdQruaz6HRdX-JAowTSzdDblEhfQR-CrpU</t>
  </si>
  <si>
    <t>https://mega.nz/file/nMUCFaYS#7jlMIlLuA3JUxvH3dqLTQsVj9Aywc-mc4-lnNOsZyYQ</t>
  </si>
  <si>
    <t>https://mega.nz/file/yFUT3aCR#5vKjPLkWEVhxhPSvENTd7pHONMGyaSLXwySJgnBdHIE</t>
  </si>
  <si>
    <t>https://mega.nz/file/qYswTCqa#EshbRUH74ciRtlY6vtSDTmowNlGlcP_Zu4YHiY9sO3Y</t>
  </si>
  <si>
    <t>https://mega.nz/file/6ctlFYCK#Enqniw3_UhVpyfDYZv8cFnql61TWIgQamOQ_sIBMrNk</t>
  </si>
  <si>
    <t>https://mega.nz/file/iAlhET4A#v76StqW6pVnuJFf2pz1ldpXrPrcxop8H0w_SjApAPlw</t>
  </si>
  <si>
    <t>https://mega.nz/file/KAF2TQLT#IGUM_afZOMxQCRLNEqLsfHLx_fbuQ7qC9mFHW-7Z9kQ</t>
  </si>
  <si>
    <t>https://mega.nz/file/WBE2jQ6C#w5U87o2-_KZQp4V7r6We_e0qPkxY3l6wBnmexuFzbLQ</t>
  </si>
  <si>
    <t>https://mega.nz/file/LdtxGJZa#FoPU4AVrZ4n5rW7CDuaeVmkVJOIpMlWXHb-YJO0IXnk</t>
  </si>
  <si>
    <t>https://mega.nz/file/jIVkzBSA#Zzp3Fk6nmYw9udGvDeSsi3g9r4LdyXILy3VYLESIOZ0</t>
  </si>
  <si>
    <t>https://mega.nz/file/PAkCgKIZ#y6Oqy9NdIIA8AsFZs6DmkoGtBToKSRXg-2zvsozQuFQ</t>
  </si>
  <si>
    <t>https://mega.nz/file/2QdABQrI#GlBCSISJc5L5dUWVLKcIBXCP1QT3mJWdIewZbvv--i4</t>
  </si>
  <si>
    <t>https://mega.nz/file/aItyTYDA#W3MSDtsGcrGFxQ7GB9LeQ888IqzP-g2-9qEZEjfGw6c</t>
  </si>
  <si>
    <t>https://mega.nz/file/nEtzHYjY#XtCrNnnp6YNNw6EKttaK4f7_loal_aRnbqUjjEzxknQ</t>
  </si>
  <si>
    <t>https://mega.nz/file/acFzhBqI#NatAlW1u6VQt7Fk0T_jVqeTZsYpM5hmwYWn2BqZj0_c</t>
  </si>
  <si>
    <t>https://mega.nz/file/ad0BAJ5T#vc65Cbtr-_NvrKl47wL4hQkVzj6csZZlyB9N_rariSY</t>
  </si>
  <si>
    <t>https://mega.nz/file/jR91wKTA#YfUi9S_F0TYCrBUQa1g74RWzigWI63q1WrTkxdd8KFA</t>
  </si>
  <si>
    <t>https://mega.nz/file/LZdllLQA#yarZywfIO5oV1oSk9AUyPylknJ8X0UAnmYyUg8A-73k</t>
  </si>
  <si>
    <t>https://mega.nz/file/KYtk1JIA#LBQGcm7inlmn-8Kjc6RUZvGrn-LOfoNhB4olvmtdVAU</t>
  </si>
  <si>
    <t>https://mega.nz/file/eIsyGDrT#BiBnQrFOCrxvD7PcBPX4YpgtVPCMwXx47rMq0zyVpm0</t>
  </si>
  <si>
    <t>https://mega.nz/file/3ZUyzIjA#8fwRHiWIADMW3i9V5xbEdBY6zBCeghkA7Pi5-QfPliY</t>
  </si>
  <si>
    <t>https://mega.nz/file/LUcCEYBa#2Yzy2psBhXYhQ_w0KeHPNh8tWAuAd8dC6fmNlI2kPpI</t>
  </si>
  <si>
    <t>https://mega.nz/file/Cd8FlC7T#kiVKfCFVfrT0iIr6Iorn-9ZtTAoj-9hzmuRZPzLwT6Q</t>
  </si>
  <si>
    <t>https://mega.nz/file/3cUzwaDC#4ctAlOhrIBnXqRWHt2bgXs5ahE9gqK7AHNph8wHArZk</t>
  </si>
  <si>
    <t>https://mega.nz/file/SU1gzLIT#LCqqqKanSoF6UGrDAE9FiPiD3Nr1KDjZ8MGYwu14rho</t>
  </si>
  <si>
    <t>https://mega.nz/file/uVs2XTxR#skseBQPYbT_Irk2vBowkENXyEySlD5jH8_38qQR86oo</t>
  </si>
  <si>
    <t>https://mega.nz/file/GYMWyY6D#FPysX1RtPnyrl-w6acnnBsrhm_R1YbzmJNLGgh6wrqY</t>
  </si>
  <si>
    <t>https://mega.nz/file/eI8H1SCI#qtCEEKCZwkmO34OmW6Xg9tXZ3kVp4mmX67nM-OerG7o</t>
  </si>
  <si>
    <t>https://mega.nz/file/ecFFQD7B#q1E2VVo6Xh97CGz9jceIBkqDdtDQ0fdWiCqqJwwaMXQ</t>
  </si>
  <si>
    <t>https://mega.nz/file/KJUGxbhR#Zw_jHt38kVZRtek_BkwIXvWwuEGQdOXs6qIjm93MvmA</t>
  </si>
  <si>
    <t>https://mega.nz/file/TBtF3ajJ#NCpTq4xp60wxo5UaEZE0CveWmb4l8ieMJvegBVB32FM</t>
  </si>
  <si>
    <t>https://mega.nz/file/yEtnmaha#fPXAoB5nkj9AOMAGVkdGDIP4wBrvzqzSowi1MXHnp00</t>
  </si>
  <si>
    <t>https://mega.nz/file/3R10HYhL#48AIvV572UVRTaYRuxvxzKy0WHCdTIGeUSy8hipb3cc</t>
  </si>
  <si>
    <t>https://mega.nz/file/uAc0hQxC#S2JOgyg7dKIvP5aOQkhyqGoRr2O3Siev3L3iY9JQauE</t>
  </si>
  <si>
    <t>https://mega.nz/file/jEVnGCoA#fm3wX924d87uZh4LtGeUCBHmd_F_jQM_Vem9IHItyQs</t>
  </si>
  <si>
    <t>https://mega.nz/file/nN02xYIR#u1iCr1aozz9_yfh5A3OGCZQXbnovNpDv2W7GUmNQCSk</t>
  </si>
  <si>
    <t>https://mega.nz/file/CMMlWSDJ#G8gIuZ7PXmTBoxWUm1b2bjyDFtb687x0q5Vo627VjIE</t>
  </si>
  <si>
    <t>https://mega.nz/file/mFNR3BwJ#KOey9Lq0Gi7gfIkQ5oNbJ5lWl2OHJEexIuSSp1d7vvY</t>
  </si>
  <si>
    <t>https://mega.nz/file/rEFAHALI#LCV5jEihAjRmmQOzUvy-Rjr0q5KNP5Av3Z8nq16jXJc</t>
  </si>
  <si>
    <t>https://mega.nz/file/yQtQELzA#n7V-wEFUJig-zlyI2sjI68LmIWOut7pyEQnvzMZtFgQ</t>
  </si>
  <si>
    <t>https://mega.nz/file/SNsjTSwR#PQ1Yp21PZIyWPBQHzPZThYpZoB5Y_UQDaW7n-A8jcZU</t>
  </si>
  <si>
    <t>https://mega.nz/file/rd1D2Z4a#AQr9PwWrarifcvvkGjzYOLM-xPkOXuWQuZq7NYgWPJs</t>
  </si>
  <si>
    <t>https://mega.nz/file/fV93jLaB#dBstsYwIwTHzxBApmr_AQMVa1J7gFBjTpttZ7P6qmC0</t>
  </si>
  <si>
    <t>https://mega.nz/file/TVtVTDiT#8dehq8UI_RJSLNs5ucjOCAWL3XS_eKZnRP5ZDYkl3H0</t>
  </si>
  <si>
    <t>https://mega.nz/file/TBdRCTxC#CrYGQ3EJYkVSh4174ImUrsXIll8xH4IYZ-bJsyvh2Hg</t>
  </si>
  <si>
    <t>https://mega.nz/file/yMdFxS5Y#-1Y6qpcH_987M24ZQrvWp9QVPATgyXCVQTqOON4jSa8</t>
  </si>
  <si>
    <t>https://mega.nz/file/SAFVAKZD#_u2pLDvqrnlfogUtCQYLUpLuUp3q6HdNuWrEWPTBUv8</t>
  </si>
  <si>
    <t>https://mega.nz/file/KckFEThK#mY8bM-NdCcN7238Q7xIYEKVKCiuVRdYMrt2oAec7EYs</t>
  </si>
  <si>
    <t>https://mega.nz/file/yFV1wAAD#rhnCnsSIP-4nUdvPSx_w_McCMhrFEtOHJyM4wG_VV4w</t>
  </si>
  <si>
    <t>https://mega.nz/file/GZsxzIoL#KqSiMBUb263iprinV92OM1Oi6GLuheIBAZEiOi_X720</t>
  </si>
  <si>
    <t>https://mega.nz/file/OctjGLbC#coryPh_WYqXljBsmvauCRNlnU579SovEHqvRikRfhSU</t>
  </si>
  <si>
    <t>https://mega.nz/file/zBkCVDoA#6dbGfsweSjk6laaNO8dwvLds1ImEXZDmSg0uu2wAlk8</t>
  </si>
  <si>
    <t>https://mega.nz/file/LIEFRB5a#CKeEaze_q6vhUuShc3dC4TZzg6OXOl_dND5jfnD-JrI</t>
  </si>
  <si>
    <t>https://mega.nz/file/adkFSZhI#kN0L3krYAWRiANRowZDdJV1eNGLML6Hu8ogBnrIxj78</t>
  </si>
  <si>
    <t>https://mega.nz/file/qM1BgSoa#RGT6Glm7EPvA6rBsb52qMh-Ec1ViFXFe_6YJ1gq1Jrc</t>
  </si>
  <si>
    <t>https://mega.nz/file/PJ8jmR6T#5xA6ip9t4WxUW3yHk0bdUbVnhw-_q5OvTZI5aiwdbnQ</t>
  </si>
  <si>
    <t>https://mega.nz/file/Wd0FmJ7K#W1j2Z29ZsydY1g8_kuSZUCbdn-1_M7SwYFct61R7akI</t>
  </si>
  <si>
    <t>https://mega.nz/file/jMFDDBKb#akykpesQVmohjYfINxAxH6HoCHryUB82ewlEaW-0mXQ</t>
  </si>
  <si>
    <t>https://mega.nz/file/jVdAwJrB#k9S5qjhmPsXNzRPANJSfmej3sebFzEiVp_Ag_8SxA0w</t>
  </si>
  <si>
    <t>https://mega.nz/file/fBsxzDAI#FHS_ICEqnMl-YD4-NDPFQCgd7Y4l_wADx4CEJWi-XJ4</t>
  </si>
  <si>
    <t>https://mega.nz/file/TEd3XSyT#XeFyfLK6ekcRmboSaTxo89lZWsctSl7lavISbbc5S94</t>
  </si>
  <si>
    <t>https://mega.nz/file/OMdjHRqb#VZURQfu3loZu3dmp0v-2chG-GUR6Meb4cEw62_tWK2o</t>
  </si>
  <si>
    <t>https://mega.nz/file/HFdgxZia#Y5PhuxhAmMzBXgKlXUcNH4R3dlzMETEOpjEn6U5WwxM</t>
  </si>
  <si>
    <t>https://mega.nz/file/KN9hDJ6B#bnuRNWr14Jgazd8OGGhhxvro596n81x0of5BdaRQndo</t>
  </si>
  <si>
    <t>https://mega.nz/file/6I1hTCzb#wNMXWMKQUyTSGC2Z4XYBmYJosCBB3RaXk_4p0qWrIkc</t>
  </si>
  <si>
    <t>https://mega.nz/file/LEkyiJ4I#Py_FrmLbSCmwoeAx71w3tqhvPJKckbKLDCkerepHNR0</t>
  </si>
  <si>
    <t>https://mega.nz/file/DFUyGabI#bZGdrsErw6_l_yJv41cdzS3nzfpSrefJko4Ba1ydRbU</t>
  </si>
  <si>
    <t>https://mega.nz/file/PMkVlDZD#RUuVvRLkaiH7LTMc6U14NkHO0yirFXm1OlHmz126G1E</t>
  </si>
  <si>
    <t>https://mega.nz/file/TA80kYSa#85OnhYdkJwO4ze_6L6_-oZY9yRzuYyRIgxY3WGPoUAg</t>
  </si>
  <si>
    <t>https://mega.nz/file/mcURDLTA#MgtvuDMDVV1NYE05qw6lxA5mUkpK5MQrbesNklKAwOQ</t>
  </si>
  <si>
    <t>https://mega.nz/file/2FlD2ICC#LXYtyRYUbjPd2zMpqTTlY0TY6K3SxnvMj2ash-Ri6N0</t>
  </si>
  <si>
    <t>https://mega.nz/file/7B0yyTwY#jYJ9YHfM0mccxxnEgXhjcQ9PyOvpcVYCuVtX7g7uoPs</t>
  </si>
  <si>
    <t>https://mega.nz/file/HA83WSgD#ygOsU67iitBBT3CXwSXuFwpVEht6xIDFxHiJu1EFFTk</t>
  </si>
  <si>
    <t>https://mega.nz/file/ycVjEa4a#XXs1rpf4HZvxmpp2RkaJaqRx-y-A_FgbaOxyWuC6eWw</t>
  </si>
  <si>
    <t>https://mega.nz/file/7VtVwAAD#si3Zl0nExdx1QKrPHqR1wOBDfrhGk8lyUo28CJWMPls</t>
  </si>
  <si>
    <t>https://mega.nz/file/qFcmCQqC#2PX6MQ3yv1A3u7XVO0XjWum4NOZ6tD_A7fScbDc31_k</t>
  </si>
  <si>
    <t>https://mega.nz/file/2ctiDJaQ#CcEapwZdzKgwguXGkR9mB47j-bIqBT0RU4Ty8Sr0ZN0</t>
  </si>
  <si>
    <t>https://mega.nz/file/HFVSAayS#PFp9kYTfmr5hjD89A_fcL6OP8c5j6sVl7JI2wzMSUKk</t>
  </si>
  <si>
    <t>https://mega.nz/file/XJM3AA6a#J3FYlIVAHrldljML83W-h7qW1iJmxHmZQDfiFyGWJr4</t>
  </si>
  <si>
    <t>https://mega.nz/file/jV9jUT7Q#1nFiuDTRXTQ4xX5muRiS61DWy_yER9uuiE7LpUzP9Uc</t>
  </si>
  <si>
    <t>https://mega.nz/file/eUUlWYbI#qtz4ImK2rDcPM0BZFubIEn2ntAk5S_hXrxiUnVy2lRk</t>
  </si>
  <si>
    <t>https://mega.nz/file/2I90iL5B#ldKdhyYVdwqh3AsR5vdDI5rjm8rKBURP2rrbnpvuFi4</t>
  </si>
  <si>
    <t>https://mega.nz/file/vBkhwBiT#dOqO2_xKPFL2BlG602G0RExbUXsv8-T7_Gz48BrE51w</t>
  </si>
  <si>
    <t>https://mega.nz/file/SNVFDBLL#uBZtqZHDQe8DZurN4D9-I8zFUR3FQfwRlEv-kICElvo</t>
  </si>
  <si>
    <t>https://mega.nz/file/rcEllR4b#nJYEkNK2McLEm_Dh2eNYyvLolxSi3O6wUhMBOvZllkU</t>
  </si>
  <si>
    <t>https://mega.nz/file/7Nt1QIpb#nEcvzLU9pwA6fxN1iFMfoPsE6q9_5MXt1fFUvBx7WdY</t>
  </si>
  <si>
    <t>https://mega.nz/file/uFVUBLrT#OkVSz03cZatiuEvWGO45TkQk2ok39FB70hSi-G8VCfo</t>
  </si>
  <si>
    <t>https://mega.nz/file/DZMggBjA#IGqzXEk5uSc4ozHysq1My0lDyIbm6Kt7EhPGDmokI8g</t>
  </si>
  <si>
    <t>https://mega.nz/file/XBUzhAQY#28fl8L15qphYygGzKSWbI5fw7_o-A2YwLxW1Kb8bZ5Y</t>
  </si>
  <si>
    <t>https://mega.nz/file/mMtlnR4K#PRNUJCP6JIv7TFnMcd8cYdCf1GLGVazavL5yz7ViTyU</t>
  </si>
  <si>
    <t>https://mega.nz/file/7YFWVLBI#SzW8kpO4ZJ7P9QZVnaJgtREv7XWc0ImejZCC12nEI20</t>
  </si>
  <si>
    <t>https://mega.nz/file/7Y0HDApA#ZEj3hYXdBX8ILDuUnmW3n524p_P7iIghK0dLeyhm7s0</t>
  </si>
  <si>
    <t>https://mega.nz/file/mElhBY5S#sERnNDoj5z0q4gbO8etuvF1vrBPWfYF7BlWcc2VBPnk</t>
  </si>
  <si>
    <t>https://mega.nz/file/TFtyWDBS#ernNkfJhI4d-gOhjBgJYCVznEWNHPPTTRI2h4-xbuVs</t>
  </si>
  <si>
    <t>https://mega.nz/file/vE1QRBia#_400euW62hQXlSThSPh2B5GR1flSEcnI4fOCj6nSetQ</t>
  </si>
  <si>
    <t>https://mega.nz/file/yA8gRC5K#X2ZmUW29-wj3N2b4ZvhLpCitj1R-kxj0sSz3kwxD6Zs</t>
  </si>
  <si>
    <t>https://mega.nz/file/3RUSgA4Z#nFXGto2rspqNppuCL-G0rC1EHu2ScpbBRiTE7i-c_NY</t>
  </si>
  <si>
    <t>https://mega.nz/file/rZ00QTiB#MHrm9Bp6uupdErL5CZXZiCIPit9wXmSoXmpvVfgM9Ww</t>
  </si>
  <si>
    <t>https://mega.nz/file/7F1xhSqD#nWP7xBj1KmUNM09pVBVRB4hzsl2X3k7cT5CqbGDqkkc</t>
  </si>
  <si>
    <t>https://mega.nz/file/iUFECDaY#ER-UGpaTxOxAREXjHnWh7RFKO96Hl6L7Jd9oRJn1NmE</t>
  </si>
  <si>
    <t>https://mega.nz/file/qF8xCTDC#d0TPeQLkd_BKMLtpbhIdgcvAcvFNHQCVj6hySZCAv2M</t>
  </si>
  <si>
    <t>https://mega.nz/file/XV0ngTaY#HptalC59hlKfb8z4ryWr31fYO5ZPKwLOgWDVdo1b6P4</t>
  </si>
  <si>
    <t>https://mega.nz/file/DV8kBSjD#hPX-igeBxFnwDRZgfRUpnNKoVhDwDi-TvHJzo-Tb-ds</t>
  </si>
  <si>
    <t>https://mega.nz/file/TQUgVAjL#znjSXn5Z-RUSI71eXBdByW3fvkKzv0PmdEneMHMaLe4</t>
  </si>
  <si>
    <t>https://mega.nz/file/qJUGCRwa#Y4PVXx8PltIxIXDjU7d8B8Na-ccSPs_8O5Uvjgf9Or8</t>
  </si>
  <si>
    <t>https://mega.nz/file/vUdEyTxA#FHyw_2qWo3sSfMCTGwAEtVibgPE17Zr0OOAibCsTk0c</t>
  </si>
  <si>
    <t>https://mega.nz/file/XREC2YZa#CLFl8LyGHSlN17U4g-OoX9bJANRSo5QceCkVUXEGUTE</t>
  </si>
  <si>
    <t>https://mega.nz/file/bANCCQCb#yOsdFxSr8TlVqmtWN_alEb2XVZH39WkVQOZ62IYksJw</t>
  </si>
  <si>
    <t>https://mega.nz/file/CUdSUBKC#Fy3ujUxSyQ17s27GoGSFkbCgBtSj1wS1OiHNERIQkSg</t>
  </si>
  <si>
    <t>https://mega.nz/file/bMMgCZoB#QWx3AvZMcKRa8PeaVdVhZvBwwL6OU3H2i6sW5fHtUJg</t>
  </si>
  <si>
    <t>https://mega.nz/file/jctilDqT#oJR-zFoLKC8jzsKjsVme0or0XR9DTePQeCO8nYNO-gY</t>
  </si>
  <si>
    <t>https://mega.nz/file/iYd2xJYY#m0DnEbUfmpkX-txQaBTvTbXoUEQkgBGbop_gALHc3LQ</t>
  </si>
  <si>
    <t>https://mega.nz/file/OZ0hgJrC#jqlcc4r9yAJrPvrbenOCgvPiww9J48kkXNPWgjlSJ1U</t>
  </si>
  <si>
    <t>https://mega.nz/file/TRF1iS4Z#DgP7GZ--VfTo1FbkY2xmh5LPOu2H2aU2rk65ajQCs80</t>
  </si>
  <si>
    <t>https://mega.nz/file/iFkAXRJR#r4lOThK0OrE4w3iB5dxrqMLrWIl6tNARjpmxUxx_1gg</t>
  </si>
  <si>
    <t>https://mega.nz/file/bZ0HlSrK#26zzJ1-mkli0Zy8-tWwFvLEor71yO2x38BSoH1Zi_7Q</t>
  </si>
  <si>
    <t>https://mega.nz/file/rcU3iRxa#Ge68uPF2RARNDJceObwItEYV5P2gEGYI9KtwVJ3am_k</t>
  </si>
  <si>
    <t>https://mega.nz/file/2IcgRaqK#nzwV8pUXO8Bzcc0rS8CTqw-gmbAlGq3FMRuMmmHZzQw</t>
  </si>
  <si>
    <t>https://mega.nz/file/aJsEgbxK#Ad8dBF8PPfUpu2pzxZRjfrq-5kAfC7Hwqp1UuGzNi0M</t>
  </si>
  <si>
    <t>https://mega.nz/file/6VlzSKbb#9qxYQ_IUlZtbFKJ4xsvjMpQ8iFlSqG_HHIhmeWphuXc</t>
  </si>
  <si>
    <t>https://mega.nz/file/fAtBATjb#0ku6u3g7osXDIjDPMxhNlRqP24zou1tJOO9iEOBO4to</t>
  </si>
  <si>
    <t>https://mega.nz/file/GEcjAQJa#16NJYM89xf4oF6TtYCjdiFt0Mm8fqM_2Z1uKXWE28xw</t>
  </si>
  <si>
    <t>https://mega.nz/file/mAtSXDjD#GvbncQFD0FSCC5VCRacf01oVsc0A70G5kX1cWuCLAWo</t>
  </si>
  <si>
    <t>https://mega.nz/file/PBE1GTqA#QPh10u8Njz2t5JmN3F0SfeG6TvXdov5407qHla9QNS0</t>
  </si>
  <si>
    <t>https://mega.nz/file/fJMz1Qhb#_3l5qxC6rbx282I9rU_B-yd-49XjjyS63-SZ_vu8Vv4</t>
  </si>
  <si>
    <t>https://mega.nz/file/WUE2DbZA#xaQgur-_ckJWWZVc-AiC2nf9L1YwX6EaVPsoHCC17Jk</t>
  </si>
  <si>
    <t>https://mega.nz/file/7U92wZCK#nCVCbxy6WFBdGO2owepOdnLwD6LAVL6k9aN_u_n-MRk</t>
  </si>
  <si>
    <t>https://mega.nz/file/KM8WmRYb#xWPr-2L2kUw7KmgzkKyQXghuErQoGhTVpFSBx1Vzr-c</t>
  </si>
  <si>
    <t>https://mega.nz/file/uYsCkAxC#IsTye9MUHRRvRJkrEU2-TFGAk5zHxYVZDiAteuQYMNo</t>
  </si>
  <si>
    <t>https://mega.nz/file/SNEEjLLS#nfBYPVHcth7cb_IuC-DbROrhTA3SNBQ-jq70l6EqPcg</t>
  </si>
  <si>
    <t>https://mega.nz/file/qdcTwJ5T#_kQxynF9Md2aG4CdqE510m8hr6bRRkvomg_nDC4_gX8</t>
  </si>
  <si>
    <t>https://mega.nz/file/PEN3ybhY#-8LMRtjZqTdnmNUNk6PmgAeapZZu3d3IvUGq5G0S8P0</t>
  </si>
  <si>
    <t>https://mega.nz/file/SVM11DAI#QxCIWAMVXqb0pYV0XJXbIiGlksW25AI-lC6_3xNC0_U</t>
  </si>
  <si>
    <t>https://mega.nz/file/eQtAQCrD#PsiP4IVvqJo5QEFd40WJ-aS1VF6jMuMN975v7Z6wnlo</t>
  </si>
  <si>
    <t>https://mega.nz/file/DJEiFK7Q#JcmQAUrZZMrFUT4z7ynk0iXs9BxJNuzfGa80Ojr_2pY</t>
  </si>
  <si>
    <t>https://mega.nz/file/nJMzxIgD#GwFZ4MKjMPTP-zPHyrfffjTYIadSKbd94a8c9E6dYmA</t>
  </si>
  <si>
    <t>https://mega.nz/file/CAEwjI5Z#OeXviLi1RwjTdDPBD72ojbGFVcs2RJSFwYbWjXS35Vw</t>
  </si>
  <si>
    <t>https://mega.nz/file/nMUwCQRI#BwAa5WrqBcMVpoSeT54T05yH3-SNE8vXVZYHmor02Uo</t>
  </si>
  <si>
    <t>https://mega.nz/file/XAV0jCxZ#Fyq91VRVLeAkWSBa4l6cW41FNdm9VcmMQweFnSEfqvk</t>
  </si>
  <si>
    <t>https://mega.nz/file/6Qt3WJrI#5qAzxBTeBHNN_SuxNy2zXt-en894TaT1J9eJ1hBEzOs</t>
  </si>
  <si>
    <t>https://mega.nz/file/zcMSkAAR#OETnd3tiY2rhRbQWV-ACN4qmwwtkTuNZL28GFCliQQ0</t>
  </si>
  <si>
    <t>https://mega.nz/file/iU8QGBpD#3poP10kY_KzdS8_2WiRC4GJsr2woe0BZx4fCZnMqcM0</t>
  </si>
  <si>
    <t>https://mega.nz/file/PEkAlCDA#qa-gKpC_pvFgcZYt7vXZfVAASEpw6GiMe2xCeyq6Th0</t>
  </si>
  <si>
    <t>https://mega.nz/file/3NVUVYwS#idrmYt5-I2Z4zVpV6qZl--JR7ahlG6pMw4EVad2BnLs</t>
  </si>
  <si>
    <t>https://mega.nz/file/nUkxFKCR#4vyoMvMB6QUlZ4mUjleVsHdQPeUulwI-IHrGyT6J6oc</t>
  </si>
  <si>
    <t>https://mega.nz/file/uQsFhSIK#wGYLshzjC-j_3X6-g_AtE-8zxN8cNH2nL1U5772otsM</t>
  </si>
  <si>
    <t>https://mega.nz/file/CcF3CaDY#TO5QS5a985SkR0rdk7Au3yL8rTVfZ-2F2nzPCgcpVcI</t>
  </si>
  <si>
    <t>https://mega.nz/file/fNVVxCbA#GPqTV9p98HzumbZRFqh2hA-FJDpGhVy7IEQcB-ucykQ</t>
  </si>
  <si>
    <t>https://mega.nz/file/ncczFRqS#SkRHO4YDf7K25evpx7nE2G6BDQ94kOZNRz54_S2wIOQ</t>
  </si>
  <si>
    <t>https://mega.nz/file/XdkjTSAA#qhNo0yk-ae-0AHOa05qvhTmZhOFXffaePyC3gEj1dxo</t>
  </si>
  <si>
    <t>https://mega.nz/file/LE8zWSTB#OMcGnm0Sdw68elCkG1KpPAgn0Vh7uTMIRZasUbM2dfg</t>
  </si>
  <si>
    <t>https://mega.nz/file/PZFUFAjL#pk8ThP81vLMPPw_rrArWM3eoEf-OhhhDtZ5XU61kJBo</t>
  </si>
  <si>
    <t>https://mega.nz/file/jU8xXLSI#LfU6BqKLpt5mlcNIj_jsIkuSnBIgyVUujUpVUk9MKYA</t>
  </si>
  <si>
    <t>https://mega.nz/file/bR91yKyC#3aDsayVb4dzScLZp5HDHKRQC2l0rILqSKKOi7UzdjW8</t>
  </si>
  <si>
    <t>https://mega.nz/file/PME1wJyS#YF05rbN7fhR8113x52hxoY3OAYusQc0unGSVmEhZm3o</t>
  </si>
  <si>
    <t>https://mega.nz/file/ud9mHSjJ#LupwtlSU7IaaY_FKEfRVa4ew-PCzbo4tR_NRRwUxqig</t>
  </si>
  <si>
    <t>https://mega.nz/file/OJtxkZjT#mhtrNwlWZpCOtxJjdKIwsAMQRZIxq00JeHGo8rEC_cg</t>
  </si>
  <si>
    <t>https://mega.nz/file/yEcigS6L#Jhf34aWOdHVwt-b1z8B5h6QRWiTRWi1xvOurQLzPyms</t>
  </si>
  <si>
    <t>https://mega.nz/file/TUcx3LxR#zZpLBQhCwt_njKpwjbSJhWELPyJESx3EsFPobbzUrEk</t>
  </si>
  <si>
    <t>https://mega.nz/file/2dd3mZQa#wgqWlfAkbDeysi4wnIkEiQ-HMnPau645GNoa2hi8EeE</t>
  </si>
  <si>
    <t>https://mega.nz/file/3AkExB6Y#3Z2Dtr_EdEQ86mKl8qc1HTp9wPs9xUqigihzm0SZdPU</t>
  </si>
  <si>
    <t>https://mega.nz/file/3I8ADRSS#82aF39DzmEVhR59rstPp-VVRKwuDTnZcsWiTqGyyv9Y</t>
  </si>
  <si>
    <t>https://mega.nz/file/HQME0ZIQ#Hsmq7WHHSpU904bQc1hdJK4FmEw8fGH-pKYADdHpgRM</t>
  </si>
  <si>
    <t>https://mega.nz/file/iM0wmZoJ#trijwaesAUkDdjoA-GpKAJPJsFAIclsxKyruDXeol50</t>
  </si>
  <si>
    <t>https://mega.nz/file/yE0xHRJJ#0ZyVmK1EgzCWaQSovD_0hleOvN5FG5Ru7sEjo3p9-8M</t>
  </si>
  <si>
    <t>https://mega.nz/file/SFlk2KjC#0Gm6xWmG_KXu0jjWl9YjUf8heiaMMSlJFE6JnVvyfmM</t>
  </si>
  <si>
    <t>https://mega.nz/file/ndUCzYaa#PHPGE1HnSVANksv4Xf-KhondBH8hxrwi56Ecv_pPm2Q</t>
  </si>
  <si>
    <t>https://mega.nz/file/yIshTYhJ#GApauTtNF9Cdy2QAo04wVOIpCyvR-9zI2Bsyh1Z8_hE</t>
  </si>
  <si>
    <t>https://mega.nz/file/WId2BR7C#rWGIO6gXh_JeLj_iV2rJ3Mg0MCEvjj2evAbLY5aK5HI</t>
  </si>
  <si>
    <t>https://mega.nz/file/3AdmFKoR#psPrJOeurvwxQANS37MzNHu3m4YK-o-M3btSAPljlgM</t>
  </si>
  <si>
    <t>https://mega.nz/file/7BEF0ACa#fU8G3hKYWaoRDXo9H163-xYxxJ4zwBsNJK6s-zJV0uI</t>
  </si>
  <si>
    <t>https://mega.nz/file/iY9hWZrC#I80EtZc6sxuMgjLSSZk-cjLrxQKseDboL8tFHbphAAI</t>
  </si>
  <si>
    <t>https://mega.nz/file/6UMkjDLA#GXzqpRf_g-MLUYR8gJ-XvuhEZQGjtqGTcTMfbmUZzzw</t>
  </si>
  <si>
    <t>https://mega.nz/file/vBckQBBB#CCNc9RZ-rKKSeP1MfLmN_Lxjtt-J9YeVma52e6-UD4E</t>
  </si>
  <si>
    <t>https://mega.nz/file/fUNAmArS#yyeZpBRPpOOfIrmqzTKX1YWSbFEmwPN3vR3T2gNojVo</t>
  </si>
  <si>
    <t>https://mega.nz/file/6UcGDBpJ#XNoVDE3Ne3hnC4JlesosfJUYWcf62Y5dTBlbp_TIo_Q</t>
  </si>
  <si>
    <t>https://mega.nz/file/udFxnAZJ#2DwJ4wG6wdUyF92tiEJssLxzbkfUcLswc5PPsJbsT2k</t>
  </si>
  <si>
    <t>https://mega.nz/file/WB8AzZBD#t3lpQQ4qd1qGIyIXGKpCEm8VXET_1kufphqHGRo9rI8</t>
  </si>
  <si>
    <t>https://mega.nz/file/CUsCgDaA#ITJguzRu495E1xdLDaZiXXy4g9HG4sbx_2POwJ2wy2E</t>
  </si>
  <si>
    <t>https://mega.nz/file/bId0BRzQ#UkfzukBxo5ltmQEJKER9pHqsBThsTrLhUGKVZ7WM33k</t>
  </si>
  <si>
    <t>https://mega.nz/file/SRNjjYzL#CQzY2ibA2KJ2lBHSpJfnEvuXEJ81DtEOEib_4bc2xgg</t>
  </si>
  <si>
    <t>https://mega.nz/file/TFtRhbqR#HVpMiywqehpBLtPDQZNoRm-5OjIY-x5Sxw1ILqyxcH4</t>
  </si>
  <si>
    <t>https://mega.nz/file/3NthnIwT#-B3Arg_pXSHwxwG-j18fQm7OY7ZjkrmXcXPkbhqQwcE</t>
  </si>
  <si>
    <t>https://mega.nz/file/CA9lACqS#-JAJuJg7pcSXIQ119enSW-sV5_211b1nWtKFmRhHDL8</t>
  </si>
  <si>
    <t>https://mega.nz/file/PdcShaqZ#WFPhw5NyfU5i3QePN4hV0or-b6ZvI1F-2arG8tp6WJs</t>
  </si>
  <si>
    <t>https://mega.nz/file/TUUmGS4L#aDfv6P0XFCfUqLsGC3VzmEigw9sCtz84b3oTXv37P5I</t>
  </si>
  <si>
    <t>https://mega.nz/file/ncU0nLZJ#IJH3OIbzNvh3JgqN_fMYral25ImeRu20npa1RYlAhj0</t>
  </si>
  <si>
    <t>https://mega.nz/file/DctAUALY#2_52J51wNdL61ZXIkYC86PsDs6xKLAAX531WTcvyYnk</t>
  </si>
  <si>
    <t>https://mega.nz/file/XYtywITa#DbUOAgtoqaNv3kWGG5L9XV4-SGY05TRrUf77oAuagmo</t>
  </si>
  <si>
    <t>https://mega.nz/file/CYtwCY6b#4V80KaLUOJIzdhz8Vb1a1lzh5YOTqjmJtlGU8fmc7i0</t>
  </si>
  <si>
    <t>https://mega.nz/file/mE80BApZ#s1U1JoB3oWWCfFJ-4jTpy_ICtp-uz2Z24K3Ls2wT7j4</t>
  </si>
  <si>
    <t>https://mega.nz/file/vdkQDZ6Q#lv8IGANqrilDz90wzlk2j2FXZMsNFcCs8Hjz3sFoGnI</t>
  </si>
  <si>
    <t>https://mega.nz/file/SJkkmDxB#7XIUShPQXzu4pWFJ4Vxv8CApjQmEVRXtewei8hJMrFU</t>
  </si>
  <si>
    <t>https://mega.nz/file/7JtDQL4C#5sXx4iJRMUDrNyDy_dzumVR0_0ckCma8bLe4UNt4wMo</t>
  </si>
  <si>
    <t>https://mega.nz/file/aA8DwKSa#R_GsnVnfrax4V9LEtL-J5KPyvaWYdyW47bq5sSnBt-w</t>
  </si>
  <si>
    <t>https://mega.nz/file/WB0kDZhZ#1oJtm0w5QK6wb5Az7Aniu8afdaCLujbve_A2LuCL5OA</t>
  </si>
  <si>
    <t>https://mega.nz/file/uAlSABTR#XcFi8RgNXl4qrkqEqEk0kEbOMQgKqMk_UDWtXqET_U0</t>
  </si>
  <si>
    <t>https://mega.nz/file/nUEQEaAA#h61zWXqmlqbAp5H29OE-JkaB4sBVmmyzVQKQ2uvs-po</t>
  </si>
  <si>
    <t>https://mega.nz/file/fdd3jBLa#B8GeEiuTYKMB4J9lVCZxFKC3n3p-iKnXXOW5FnCzrn0</t>
  </si>
  <si>
    <t>https://mega.nz/file/WZkRTSpD#esEoF47GLfL-zkvJAdRX39qszfxTOO_26FHS-s2VL78</t>
  </si>
  <si>
    <t>https://mega.nz/file/bF00HKpQ#U8SxgFuxi1yJfjbjkJgH2IVJ5ycoqNIfc3eb1itVywk</t>
  </si>
  <si>
    <t>https://mega.nz/file/zB9SESyQ#fktc90x7ArAfOCitoM8oGXVlUJd-Zgus_rWKSWW11h0</t>
  </si>
  <si>
    <t>https://mega.nz/file/uNt11YZT#J3xpBJCKwfJ1m7LywD4MDHsUahoHxD2mGS9CutCHFcQ</t>
  </si>
  <si>
    <t>https://mega.nz/file/HQsQSA5T#Gb7qExjgFt9SvHTAgigcJtkshcWJfg5odWamxtEfim0</t>
  </si>
  <si>
    <t>https://mega.nz/file/aB80ARyY#JumlNJP92kJlj6RzJxW9Y8RKqrsfrveuYXbTk5vtbxo</t>
  </si>
  <si>
    <t>https://mega.nz/file/ncUhWDAT#D5LgyPxSjj_S1vrJhM_b7evX11CTfol4t-E8dvFq8tE</t>
  </si>
  <si>
    <t>https://mega.nz/file/GJ8WGKIY#Pz7RcaOp_8orB-kDpu5AvbYdMbj4uX6bOTwv_TB5PGc</t>
  </si>
  <si>
    <t>https://mega.nz/file/bNFwHZyZ#YBfALhwjz0wCzEFY1b4ZovRKskiNjzv8qV0GX9bhVxQ</t>
  </si>
  <si>
    <t>https://mega.nz/file/DdEHRRiZ#Mh7KCGczuGNr7D1lPfD6LD1QN2t_fHVj1TqJQCcRbCo</t>
  </si>
  <si>
    <t>https://mega.nz/file/uMlwXIga#EDbOrtgM24Dv3FMmZBZ1DTMF9Ai6lE_VNYOemVH0cxw</t>
  </si>
  <si>
    <t>https://mega.nz/file/6FtlSb6T#LO_1pMWmeAFIM3HO4aWHOWP4WgKhkt8WuEU9lHlUaEk</t>
  </si>
  <si>
    <t>https://mega.nz/file/WEEzBTxa#sNCCpUQvHN7gE2dx49evtxhVh8nW2zxBbjOWJ4b5IiY</t>
  </si>
  <si>
    <t>https://mega.nz/file/2MMkxDQT#lM5M8jJ9vmIMkYub1kmJ1Lm5tELkJCRjzCZbKt96JXU</t>
  </si>
  <si>
    <t>https://mega.nz/file/6E0DAZpZ#xTjFpfymh4b7wjJrNjqVZxCJjDvZlA7XbqT9a948UXQ</t>
  </si>
  <si>
    <t>https://mega.nz/file/Gc0k0arb#zeHWEes8BCM9JyW9M2eXm0z2Ux3nGwUQ0kGGsyR7Clg</t>
  </si>
  <si>
    <t>https://mega.nz/file/Xckg1SpQ#fddVY0_GvZInJ2q1Dx502_G0lDfnywPo03Oz-MRCDrM</t>
  </si>
  <si>
    <t>https://mega.nz/file/PYESmTZL#5HQt9aG8Dy5wgtbKasn-iaA6A4A8Jw0QEGzvJFK18TQ</t>
  </si>
  <si>
    <t>https://mega.nz/file/CUtA2TiI#W_duu5tNjtBegzXkjBMMtwl3MUEiYL-nBg2t5At0DCE</t>
  </si>
  <si>
    <t>https://mega.nz/file/uMNDQAJQ#g4SBiYFpxGfo11PNUSbB_xN6_O8Gs5o9CxM9azrBcYU</t>
  </si>
  <si>
    <t>https://mega.nz/file/3JliiaIQ#3ORFXj5ucT6izwiYAcbIs7_hEGaqBWCVZhkx4HOWdSo</t>
  </si>
  <si>
    <t>https://mega.nz/file/6YEzyBKI#eyh6m54VmkYVtoedxTrH5xKpFYC1aIh4gVJx8wf8LG0</t>
  </si>
  <si>
    <t>https://mega.nz/file/KQVRHZYB#TgcdxXC1AKyXgh38XBQ1fXD0N0doaeuIzyWQsQuIYbw</t>
  </si>
  <si>
    <t>https://mega.nz/file/iVdD1KjI#zCSFOu0MKTUSOfkgfXIdqbBIH7xLktjF9hwdqlVH3E4</t>
  </si>
  <si>
    <t>https://mega.nz/file/SAVnnKQJ#YwjjwpSvDuSxgk-bL4KoW3rkEEqq9iwaxnufFwoQrs4</t>
  </si>
  <si>
    <t>https://mega.nz/file/zJkwGbgJ#915xmjSsnhNgwtwE21EWJtKuIt-2127ZQd_KGeQfuaM</t>
  </si>
  <si>
    <t>https://mega.nz/file/XBkClJxR#ouczprAcdrXm0JukO20DbrkShRlYQ0M1aETAWU_lFC4</t>
  </si>
  <si>
    <t>https://mega.nz/file/fdE1iBCZ#WpkVE9lvHZszje_Ma5gC6zC3hB09tLI_zQ7Xul4LMX8</t>
  </si>
  <si>
    <t>https://mega.nz/file/idtxyZzI#AG3Uv7M8P7bJ6i19g2SZRTEu2hZ4chto9AX3j2TQFOI</t>
  </si>
  <si>
    <t>https://mega.nz/file/iJ1XnJYA#dJ3Of-8O5TRVkjt1R1t7R7t4zdsvZJIWV__s9g1-cok</t>
  </si>
  <si>
    <t>https://mega.nz/file/HF8m3KKb#Zy8iDjz5tYJiJEB0IrOJ3hQrx6MHlF3IA1aFkUhbui4</t>
  </si>
  <si>
    <t>https://mega.nz/file/nEs3UTaZ#aJLAJNK5nWeutrnKXaHx0DmA9tJ9B7EOOVx4anyKccM</t>
  </si>
  <si>
    <t>https://mega.nz/file/qd8j3aDa#WNba3JmE5S79jolk3dJfXaLgp03wBOX2Ah3-aGoDLvo</t>
  </si>
  <si>
    <t>https://mega.nz/file/iVkSXTSB#63xgNR5zh6IzAFpSzztRKsOrbq209rHoDHgcrhv8yE0</t>
  </si>
  <si>
    <t>https://mega.nz/file/GQFFgb4Q#mMZ5fdLW9AZDqYq8ZBwOgwE-yULyanWGWkd5bHj8VXA</t>
  </si>
  <si>
    <t>https://mega.nz/file/DEcDiQCB#yteXYpWxhk_-qooFpYX19TMAyollv-UyxwxIZZTRf88</t>
  </si>
  <si>
    <t>https://mega.nz/file/CJUggZoC#9ldMuSBR4YqcJa_-kaZ-IcgTPYDWDCVJYc0SRuj8p14</t>
  </si>
  <si>
    <t>https://mega.nz/file/iI003bKZ#e_iismfWL91o2tYVOcYddtD0eW9LxoNG0UQzTKTFvOk</t>
  </si>
  <si>
    <t>https://mega.nz/file/WEcQGbDL#oFp4dyiUiehl4G5NKmtPYLi5IX2xORQEohj5MVhgu8U</t>
  </si>
  <si>
    <t>https://mega.nz/file/OI1CjTjb#KILefFVj-KLaE2x66mxtsnmY7ID1xN_agZy8gw0P9Iw</t>
  </si>
  <si>
    <t>https://mega.nz/file/WMVzwCjB#qS33uQVgRdT2bc2j4hLTyJW8Ug1VdNDWi7MnLMO4fVQ</t>
  </si>
  <si>
    <t>https://mega.nz/file/eZl0mKTD#WJPTdhMZXNvy_HiXq-YW_Hlz4dRwJ_-XN_1ygURGyvA</t>
  </si>
  <si>
    <t>https://mega.nz/file/bBtSiCSC#plPDFv90CfEiVq2C1ykUD0B6SKPN-BGAi1srO4Gbmls</t>
  </si>
  <si>
    <t>https://mega.nz/file/bUNDhTjL#ScPmu406j3qYMbdUBk9T0m3gwoUMFPAhRyW0Slu_2IE</t>
  </si>
  <si>
    <t>https://mega.nz/file/6MMCWDSC#N9f6r4cAvwgkeYFnQAQCjpXhbI45Vbd7ZbB7NWHigx8</t>
  </si>
  <si>
    <t>https://mega.nz/file/WEMH1JYL#g1hoRNDL4-tnbHun7-stPGPU4Vgzy4x3Wkq6c_0RleI</t>
  </si>
  <si>
    <t>https://mega.nz/file/CZUmFCCZ#SBtov7mSjIuZ9H18Ymx1ohdFsHEAi0zkNUmLp5kTafo</t>
  </si>
  <si>
    <t>https://mega.nz/file/iRUEBIqZ#-qkVUyCByKlBXxPutNo2sL-sIgsUp6mskU3wc8Y8bxY</t>
  </si>
  <si>
    <t>https://mega.nz/file/CUk2BTiI#gGrZR3K2B2DvfMfzzoroqWQJVx0X7dWeKlXPNH5oDgg</t>
  </si>
  <si>
    <t>https://mega.nz/file/LAVVDBib#l7IC5GoqgDQIx2wym7r1Mq-BTaCVhN1KddlCjp2WqCM</t>
  </si>
  <si>
    <t>https://mega.nz/file/CQUVhByQ#8khrPaG25QIyfQZ5oK9g9cdVE55nJ8lmxv6gHRf2cSk</t>
  </si>
  <si>
    <t>https://mega.nz/file/eN0VkYDI#A3uV5GRyhM8D6VMXtoolgllDI0ehnzw3boHFUOEMuqM</t>
  </si>
  <si>
    <t>https://mega.nz/file/2QsnlZCY#8K927UxqvQ1kuA52xJ3RUCQOnwyv_hBFYB4g8FYocp0</t>
  </si>
  <si>
    <t>https://mega.nz/file/fQsmERiJ#f_mMqqX3Kw6k3EgWtFrM0uWyfy7PfhTYhFhCaO6VDhM</t>
  </si>
  <si>
    <t>https://mega.nz/file/aJMngSYR#LmXP-6iRIypIyWFn6syxOHXkj_woL5oPJ7mD6hMvmg8</t>
  </si>
  <si>
    <t>https://mega.nz/file/2Rs3yBSC#MFc8QbJdFb3eVxoWpGR_0aFQPsQ8EuG48-HBEvc5buQ</t>
  </si>
  <si>
    <t>https://mega.nz/file/uVcwhaBQ#f-ML_OhY6eD8_vtRuu-vPZ3OaOmOfU7STZYJ1ohi_IY</t>
  </si>
  <si>
    <t>https://mega.nz/file/6N8DhBhY#rlKMIRMCailbsomVmyQ5dSUbVjrcLOoVWj3EqNtNYjs</t>
  </si>
  <si>
    <t>https://mega.nz/file/uBEW3bbR#1UGEHDLCmavuPqMX_4JFIdDVq2n2fseXtJ-JSpWv4XU</t>
  </si>
  <si>
    <t>https://mega.nz/file/uMtF3ZjQ#ltSepNAUXDqeH1rQJmUVNbwg4Qyw9nH2RVWIRiJgVT0</t>
  </si>
  <si>
    <t>https://mega.nz/file/aJkjyIRJ#2oICe2FAQESwmawuHR3FmZFm_lsijLCEkVJQrNBHCa0</t>
  </si>
  <si>
    <t>https://mega.nz/file/bINXEJZI#r7DG7Ns4b1XvX4wdDnfmnwSHH3iJ1Ee7fgIA_u7lcro</t>
  </si>
  <si>
    <t>https://mega.nz/file/TR02nAAQ#IqctHDrxTpW8T25Yxa0CwtR3Q-R_I_Jbs7US9ttFfto</t>
  </si>
  <si>
    <t>https://mega.nz/file/7Yl3kJbb#nk8pIMET5mevHJYUyD9lMSANdwOXfqMkPmxuBmpCLUw</t>
  </si>
  <si>
    <t>https://mega.nz/file/KFNR1JSB#Mp_nnO-7HVTZUtPZjXspne2liTZFzKoQdzD4JDyIiX8</t>
  </si>
  <si>
    <t>https://mega.nz/file/7QMHGBwD#E4c2hSEHT2vXVUbAamjcr7A66VKbR4AJfuPGpFEddg4</t>
  </si>
  <si>
    <t>https://mega.nz/file/OM1GiBaQ#iFJ_S8uNxquckFDHipu2MiEUqIb1nrmGvxKxNyMfAmI</t>
  </si>
  <si>
    <t>https://mega.nz/file/vE1QQICA#pT07G4Xd5_Z7QzsP_HsI-Up6xlmy21DdOPR3ezssSQI</t>
  </si>
  <si>
    <t>https://mega.nz/file/TMtniQBI#hbhRPrmIQ43G0iT3YVFS-NsAh7yQv3pS1vjWmyjr5uQ</t>
  </si>
  <si>
    <t>https://mega.nz/file/vU1GQTqD#UFaLoj-f_UJj95UTf7rXD227iHjMQkcbK_5knLQFsGI</t>
  </si>
  <si>
    <t>https://mega.nz/file/XYM1VbQL#qGjMDvr5l6BDllBa4Fgchi7fgZyZRab_vlj4OTEhaeE</t>
  </si>
  <si>
    <t>https://mega.nz/file/iEVggRDI#r9jtRQiCUXjJb2rhO1SFpb9wJZpyfpO24E-_8mltxKM</t>
  </si>
  <si>
    <t>https://mega.nz/file/6UMiUQTI#xjDz8GNk-wAx3HryjRv0WcnKwPQNE3nqOUxDbrdnj8Y</t>
  </si>
  <si>
    <t>https://mega.nz/file/SZlE2aDQ#LLczCpb1JFVZjSGzsJzk3dIY7Wwo60uICUJKEM_VMeo</t>
  </si>
  <si>
    <t>https://mega.nz/file/mcFgWIjS#HHXI4Dsb3BUyK18dlUj1wVSGxN60FGFMrRhOUlSQP-c</t>
  </si>
  <si>
    <t>https://mega.nz/file/XQFWEapD#FwNW78ILfZShVoGpPweCD5rGC1UfcpG5k1DiMNhVVBc</t>
  </si>
  <si>
    <t>https://mega.nz/file/rd8HUQDa#LLAUzA8ewkz0IGaTD5TP3PvAvYrq7LRovu-m7jtkowc</t>
  </si>
  <si>
    <t>https://mega.nz/file/LRMVECSK#h4yM0TDWiQCp1VoZWM-cmgZyz3T7CtGZe0GbK7KA1dE</t>
  </si>
  <si>
    <t>https://mega.nz/file/HEMh3AbA#2q3G0VyjCoMKUKVvEAAIn4atPfJpBwwpmkg0HTIutQg</t>
  </si>
  <si>
    <t>https://mega.nz/file/7VtlgZST#7vFzHfExI306MQ-7TNi-nSkbsIcMlIjA1hM2Ke7FEr0</t>
  </si>
  <si>
    <t>https://mega.nz/file/jMN3zZDQ#CY_2vIIhfQ7el--iypJ1gez-TUNYbSUah8Lrn0ZQldc</t>
  </si>
  <si>
    <t>https://mega.nz/file/qV8BgDJa#9JH4lkZrzJmWFm3idslNmOfkG9YukgFxtxUJqJ9M0Nk</t>
  </si>
  <si>
    <t>https://mega.nz/file/SQEQyISb#ucBX3UKq7ufAOVGT4S1k7cB1rymaJmC4Glkc1BPOJFM</t>
  </si>
  <si>
    <t>https://mega.nz/file/LcNU0LYJ#lAE4Mxyy6L8a56f1tpceJtriGxWh0-citDGXkcbULHU</t>
  </si>
  <si>
    <t>https://mega.nz/file/eIUXCZJL#SIndhhtufc4hfI0JQp-KSfk1B0JMJNVyb5f1rNkMp0A</t>
  </si>
  <si>
    <t>https://mega.nz/file/qcMinYob#Gql-N0U0jFJ9ZX52qVE7Z4T8h4-LPxdL-ke617ejgRc</t>
  </si>
  <si>
    <t>https://mega.nz/file/GVFS3IpS#uKKMkRfZJMT1unHHpVRBcpd7FVhQLQcpE1T_WKSvfpg</t>
  </si>
  <si>
    <t>https://mega.nz/file/vAEW0DgA#h4WKbWBMgvBkyxtwbB7H1j3ZwZd7_Ue58AtxHH4vhBE</t>
  </si>
  <si>
    <t>https://mega.nz/file/vVcBWTbQ#NzUSloOvtt0sw7uHsQnrDSci4MphvcNruNp1ghugrzw</t>
  </si>
  <si>
    <t>https://mega.nz/file/eYV3marZ#DpNwaN93RcQzArSqbIflCFUa4s9XM5Kz7M88O0FLDRQ</t>
  </si>
  <si>
    <t>https://mega.nz/file/yIMWBARD#NAv3thvDMdmCPQCvr13nEqmxzzbBXuNgzSZhSxPOSmg</t>
  </si>
  <si>
    <t>https://mega.nz/file/jdMhjLyB#Zo62xFRNMKUMMmqVcvSBE2DixRlof5S3--5CYCk2XNM</t>
  </si>
  <si>
    <t>https://mega.nz/file/GZ8FmKbZ#B4cHkq8ARbJAmMkPU-tS5Hvy63bWS8Ct4m4K6SipXXQ</t>
  </si>
  <si>
    <t>https://mega.nz/file/fZ0RyK4I#kq1QJPEU6FVrmlnCFIG3MlB-u1ZLxFcfntEnO6D5ldo</t>
  </si>
  <si>
    <t>https://mega.nz/file/mZszwSKA#itPfernavrc9l0Y02dAxqUV7km0kwMQ49y2a3ue3ymk</t>
  </si>
  <si>
    <t>https://mega.nz/file/2IU3XZTD#NxCikysQwyIUkOaZLNVOiqxazPkWEjVuvR4M6K0Wr-E</t>
  </si>
  <si>
    <t>https://mega.nz/file/GZlTGawZ#RoDag5UmxOuQYinOylohgfDHwkPX_zZbhq_bnjxrfI0</t>
  </si>
  <si>
    <t>https://mega.nz/file/nB9RBTJB#172n0_0sjhsuxFohMl1IrRzOMP4aiOynjMKj2YbQ5iU</t>
  </si>
  <si>
    <t>https://mega.nz/file/qYcXTBIZ#Td8T69sCcQu8QWvgVsgd8VGwxV13gODiTRZPWq3RCxM</t>
  </si>
  <si>
    <t>https://mega.nz/file/uRNgHZ4D#KVKKYeZmeVFoGLej3iD4r_wmvF7lY4YrWBn-rdbqcdQ</t>
  </si>
  <si>
    <t>https://mega.nz/file/WYFwUbQJ#NXbttD3E0YSZsmHABZJ0vr8UTNViggSZRB9cunpLWAc</t>
  </si>
  <si>
    <t>https://mega.nz/file/zBcQUTpD#_Gi4Mn4WMWXsYRlnyLCn6LAj0ga4KnYC4G7FK5T-tow</t>
  </si>
  <si>
    <t>https://mega.nz/file/qQ1mhCAa#xvLr8NXXTOr4lMzGByu3tvPaMjCBk1CKPO9gIQA82oc</t>
  </si>
  <si>
    <t>https://mega.nz/file/eJNzyShS#deYwFv3AnP7d2msNTrDBt_Q09ODOdyJaCaobZfgyO14</t>
  </si>
  <si>
    <t>https://mega.nz/file/zAlyzajT#cT4diiDriEjk22JPSmVCkh0WvJdcB4Zot5KX78jHb6M</t>
  </si>
  <si>
    <t>https://mega.nz/file/qIsEmSrQ#VHJFeBH9Kp7KBfC14yoQiGHlw-2xA3L56h_bMkBuI7Q</t>
  </si>
  <si>
    <t>https://mega.nz/file/vFtFFIrb#s42aKXc-dQEaVXtOajUz_cNU3TRX9dk82NiO8f7nrY0</t>
  </si>
  <si>
    <t>https://mega.nz/file/KA0VjBQC#7e3CW-SOPPQLKqn77h8Sd7Ki3--OUhEcwTR0Hr9Q-1M</t>
  </si>
  <si>
    <t>https://mega.nz/file/OUlCTIxK#yRCSPzN1gTtFQDJNX0brhpyEbJIprzgCZK7U-OT7L7E</t>
  </si>
  <si>
    <t>https://mega.nz/file/vcUBWIxb#xfOKunjc2t0306V9PvZiG9sVeqNniYkBMT7P9swX-_M</t>
  </si>
  <si>
    <t>https://mega.nz/file/PQ93UJqA#n-yvPysJ3NhFPrQpDPC4ofLI-vVpnV9ABt_TAOAZ1UA</t>
  </si>
  <si>
    <t>https://mega.nz/file/DU1hSBDL#avuNKA-uW1L172jtbPHVcRbp5OF2o9yIYvVy47K7YSU</t>
  </si>
  <si>
    <t>https://mega.nz/file/KElmQbzJ#DafDGcsyVNvL7-Uo-mjgtpI2TCzkuXAutTjhXfLGVC4</t>
  </si>
  <si>
    <t>https://mega.nz/file/XYsmlSrI#aXldf45s5jxFODXQOTkoNNjvEm94RgVt4O3FKna1l3I</t>
  </si>
  <si>
    <t>https://mega.nz/file/nQdSkRZA#mgx4RcsZ3N0QfEmkb67Ub1LArOexiaF1u0Oh2yN4u3E</t>
  </si>
  <si>
    <t>https://mega.nz/file/zV02mCLT#I1odtTZUxVqW2MwrcF0SO1LmBA75CLnAwn3YIC_EbkI</t>
  </si>
  <si>
    <t>https://mega.nz/file/7YUABIIA#ioWa0p5d27QgvhlxRj6zI9BwvP3D8By0bNF6c1UfSw0</t>
  </si>
  <si>
    <t>https://mega.nz/file/KFcywK4b#behSs7yj59UjfUt2gGEoiRiI4NZ4tWMw-5F9KE-rb6s</t>
  </si>
  <si>
    <t>https://mega.nz/file/zUcFgRaA#63kZbR2NVqfl4J0l_tqLvnd2KOorhEJAH2ubgykWxKQ</t>
  </si>
  <si>
    <t>https://mega.nz/file/aV8wTCDa#lSiNXFtHlu5h9hYsAz3kUnMi9ceKVWLAMA84gVvWKPE</t>
  </si>
  <si>
    <t>https://mega.nz/file/mUMVVYga#IQK66cZlyx2HlVhR4iQqUHKF7mWl4365wWN5AimiYpI</t>
  </si>
  <si>
    <t>https://mega.nz/file/fNF0RI6a#9QyoMZObSgwILhw442sPjl29toDdJjHDw_d4XHJ35VY</t>
  </si>
  <si>
    <t>https://mega.nz/file/Wc8VHAoR#eWSmJQI4pejRuG5nRBci96PT41NzN1DMBZAsLb43Cxg</t>
  </si>
  <si>
    <t>https://mega.nz/file/LAkVWTAJ#wEdW2EBtkK1yaK7dMX4nYUuLHls-JIir0xBTd_Pz-UY</t>
  </si>
  <si>
    <t>https://mega.nz/file/rZsUCYYC#NjOXG_E2mhi8HnsCTD5uufrWZbeH234dFH3sRS_9XOE</t>
  </si>
  <si>
    <t>https://mega.nz/file/3JdRCSDZ#Ad4Z0bb6VzHkYfq64bgM6CWOP_4Z_AvOgup6eFS5Xuk</t>
  </si>
  <si>
    <t>https://mega.nz/file/7Rk2kA4T#efjsqWTwHex7fDYpvz9lwKCFa2W9t-jIqvZW16GcfoA</t>
  </si>
  <si>
    <t>https://mega.nz/file/zJtDyIxA#gp2zfnw1Ep9VrdPK4RnEmeimJSgSwxmSCK2Nfzfb0QQ</t>
  </si>
  <si>
    <t>https://mega.nz/file/jJNFnBIL#_N-DQVn_GTAyhH-vV2HN7a60hyDydnRW6RU1GonDhmE</t>
  </si>
  <si>
    <t>https://mega.nz/file/eJc0iZLB#_Ar-vVB_fCHG9KmrCxjeKAmR12g8E9q0dR57AbHW7_Q</t>
  </si>
  <si>
    <t>https://mega.nz/file/rQ8UnIhD#W8oSSkHUgPjzo7w1a4hctSUoGRpzv0KfVhVhXY5rlqc</t>
  </si>
  <si>
    <t>https://mega.nz/file/rEtB2JQA#U3xkJT99LTjTkcyBCk33qL3Co90o-irXC3Wy8Ab9z3Y</t>
  </si>
  <si>
    <t>https://mega.nz/file/KJdBEIqQ#acQnGFPVt8cPxuciOdtEG6q5iy4XFP4c6YcL_z63YeM</t>
  </si>
  <si>
    <t>https://mega.nz/file/jV8ilD7A#bXmK5sPMImKUBGKc5frf7-Fj-3zEX96tDSWqlIZHZn4</t>
  </si>
  <si>
    <t>https://mega.nz/file/Cd9jgIqb#L__HA1bLC8lSl1hYGyEVxLLEz6IseE5V96rUGwGsgTo</t>
  </si>
  <si>
    <t>https://mega.nz/file/rAcV0Kza#3zk_CS6oJ_ck8dJp4IgSkUN52c5OTcVfh3ewczRZX48</t>
  </si>
  <si>
    <t>https://mega.nz/file/vI1HDBwD#0WSQ_b6zCOTEgbfF9bNkad38Fa2kzYQE_5LGHRnG26A</t>
  </si>
  <si>
    <t>https://mega.nz/file/TVFASQJK#BIHYVt7JX7SSHSs5LcwKeGvL6hrdqOx0-ZMASsPPyVQ</t>
  </si>
  <si>
    <t>https://mega.nz/file/KY0BQYpA#71oOiOSml64__vEq23G6L84cXggfyp2SVIPcazBNlrM</t>
  </si>
  <si>
    <t>https://mega.nz/file/mIlEkTLT#T4rtVvhx604qBeNbKDhB0qBtlRIUAVfcp6e1c1RX-sQ</t>
  </si>
  <si>
    <t>https://mega.nz/file/iUUWDDrA#rFqiG83nr-Anhix_kGmD5rUYv-TVseOrCMnfukzeTJQ</t>
  </si>
  <si>
    <t>https://mega.nz/file/OAECzBLa#vYOECgDRHHVUOOBNaV6FseozKNiY8NQiCExjB9hR9Bs</t>
  </si>
  <si>
    <t>https://mega.nz/file/udFEVTKD#f4IpJ8Q1r3t3NyuVxFIGnzr2JMnYV6iui87kttmzsic</t>
  </si>
  <si>
    <t>https://mega.nz/file/jUU3kZBR#UeQ4l87oxSC6KobArKLOdOjVWp4sVQNc7iYvFOAAzEA</t>
  </si>
  <si>
    <t>https://mega.nz/file/Gcsh1ARY#wsddTW60gHkXxAv_03h4PwrsKJaDVCJ14IqC562LVYs</t>
  </si>
  <si>
    <t>https://mega.nz/file/LA1HALxb#ogHr3pNY94HVCz1TxBqERl1AIlfiPXLIkvrAopSGqZ8</t>
  </si>
  <si>
    <t>https://mega.nz/file/mQVQERRC#0kqTCjGUceqU0XhCTe3GtRbqfOYRdbk0z8HQWIAtz5U</t>
  </si>
  <si>
    <t>https://mega.nz/file/TVlzFCoJ#RwV16TaHnt0FLVwwkoB3Ed4Nz8M12bkGQtRxDIWN9pA</t>
  </si>
  <si>
    <t>https://mega.nz/file/WJkBQKCI#d354pvx0wxxuMK0c-bdSMwllvfdOiu484yP0TFb3_Mg</t>
  </si>
  <si>
    <t>https://mega.nz/file/CNFQTKSI#y5fnzipsnbxHE9hHtjJ4wpJyDBwjVX6XtpToT_B3n8Q</t>
  </si>
  <si>
    <t>https://mega.nz/file/mBkhgLSA#6gqJOv-VvtDRq47tQOUOj6EfHcnaiGtZKWy9P8j6pFw</t>
  </si>
  <si>
    <t>https://mega.nz/file/XEFj0aiT#dpt_FCDAWP4qMlfPz7UM_QuRa3IF6erbLqLA-QvCq8k</t>
  </si>
  <si>
    <t>https://mega.nz/file/LVsRWTLI#aH31_REqWFMBe6DVB4JEVF4UCeo0codfjq7QncUAjE0</t>
  </si>
  <si>
    <t>https://mega.nz/file/6cEWnYCT#A6SXpkKANxnUzkrswQug3q3HrFaQIlJdyoaQ0G7Vqmk</t>
  </si>
  <si>
    <t>https://mega.nz/file/6UVA2YbQ#40kZzpJzQoFcfvn6fsrunHDLRCwiuFy-xBYMpoJd-Ns</t>
  </si>
  <si>
    <t>https://mega.nz/file/rFE2DSqR#gf0UM_NbcHgjDwAnp3WC6rWuAj-MojrzreunYgQGI9M</t>
  </si>
  <si>
    <t>https://mega.nz/file/PRkR3KrL#37bFPbZI2W8uN1AKvAE6juYIgNvnJSihrTU3odW88eI</t>
  </si>
  <si>
    <t>https://mega.nz/file/HANWXTbK#D6hRYO8iKc0HPxHpd1J4A1zwoK8E0pHzHLIef22u7To</t>
  </si>
  <si>
    <t>https://mega.nz/file/LF0GgIST#y58FqObsegJnLckzdhw-5tEWmc-SrjjcqjzyQBBK27s</t>
  </si>
  <si>
    <t>https://mega.nz/file/PMFGUboK#_kHkh_Mc-2OPJfeD6Q7hYfEnZUSlf_VPIjxy0Rb2ow4</t>
  </si>
  <si>
    <t>https://mega.nz/file/bUUUUAqK#_BDtwFZWohYzKdCHBeXYv9nfYx8c5O79TTj5hVJliXQ</t>
  </si>
  <si>
    <t>https://mega.nz/file/aVlmDTwD#Uevh2SEHkT5P0Hb0n5rBi4c3YMgYnJgDNtww3nHhk5o</t>
  </si>
  <si>
    <t>https://mega.nz/file/6I9mkAoT#OMJ5toGWq4vNJHTwovoCUoeHPugAMhLdd4vO9Qx6F8c</t>
  </si>
  <si>
    <t>https://mega.nz/file/uJ1hXCrZ#dtouY5ap6f8eElACv-8aKPjrzI38KDkOp2_kExvc-aQ</t>
  </si>
  <si>
    <t>https://mega.nz/file/TFNRwDBD#j6tnXJDOeYhjVd30VZgXk0bxn9EShcpKty9mmcHNq8g</t>
  </si>
  <si>
    <t>https://mega.nz/file/KVkWCSzT#PWSPHmu53i52lNDnj2T--WkiIqdO7THcRnNRqzPI4gY</t>
  </si>
  <si>
    <t>https://mega.nz/file/GU9UDbRb#JP8F_VC4m8Iz_Ypqd_JnHq_oii0hxcq3ctvQcNPsNuU</t>
  </si>
  <si>
    <t>https://mega.nz/file/GYsyUZIK#UfJ0jjyrBKFm3cJIhWAnjKMvmpQdIU62yAuyGfZMn6o</t>
  </si>
  <si>
    <t>https://mega.nz/file/2Yl2VRzK#U22Aj_GwClWp-VnbfIkpOoau4xUl2h2jfWcgv0yOS5s</t>
  </si>
  <si>
    <t>https://mega.nz/file/XY1TwJbI#nm3yGHRFZSA7CqJbuCrrEZgSka7w-pRXY5piUXiLMtA</t>
  </si>
  <si>
    <t>https://mega.nz/file/KREFzDbB#z5Wpsta390jGBKIDt9p-q50-mwhLXt8hjKRLMWMzLEU</t>
  </si>
  <si>
    <t>https://mega.nz/file/2IcylJoQ#oNEXTDZYrEQ12P3QanQtDgqYxT3zcr0ZBMXOuS1XzqQ</t>
  </si>
  <si>
    <t>https://mega.nz/file/yMVEhI5I#c26Lo8M9wYFGKVVEFvZ1xtJFq1EW1y67b5GHBf2Bnzk</t>
  </si>
  <si>
    <t>https://mega.nz/file/rcFX1KbL#P7csmMWznDjJpUjtUqAg-LspPVe70by94XKw88POo6M</t>
  </si>
  <si>
    <t>https://mega.nz/file/6AcCGYaA#fGaRNIEmHpOtqIVZdWdkVoXPjouRTxc5viGqhGBoEeA</t>
  </si>
  <si>
    <t>https://mega.nz/file/WAUhSJob#G-figMynpwjxTBYFUZ2imSqPPAjcplqYT20tgRqGcCE</t>
  </si>
  <si>
    <t>https://mega.nz/file/LNVBFIgT#bnNs1NLVeMKxnXi_76psfHGk7yd-2GWzdzKbQhMOZGQ</t>
  </si>
  <si>
    <t>https://mega.nz/file/GUVghL4T#e_dwCNNHe6nVndCofDiukKBWKGUgOU7DuiXvvov_UnQ</t>
  </si>
  <si>
    <t>https://mega.nz/file/uB1SkBAY#76SPjxi6Dm2iR9dzm_UmyFRUH0v7Bso2rFP5bNtuHf8</t>
  </si>
  <si>
    <t>https://mega.nz/file/rMVhkAhB#wfHN8-jbghHiGMQl_w-_LPt-GZmI6iztrAPr7Se609c</t>
  </si>
  <si>
    <t>https://mega.nz/file/LNlykAST#VK4OE14Y07aIDTb3UJgSkVfdqN_SuI-T-nRF_PbuCDQ</t>
  </si>
  <si>
    <t>https://mega.nz/file/HMFiwK4Q#AN0iHzz-2OB9F1ftraIjDmiKduiC0QEPOYQXOl1gqqo</t>
  </si>
  <si>
    <t>https://mega.nz/file/TQ0RTIIQ#x8dRI3Rplspqg3qi31bLK2_SjVtXkBisu25_GzImfss</t>
  </si>
  <si>
    <t>https://mega.nz/file/LV1ghYoa#1Jyqj-CYvFir0Wu4_4v7QwCK-1b2W1_o4vGmT3U6vTw</t>
  </si>
  <si>
    <t>https://mega.nz/file/LF1TCAoQ#M5KH7dn9K1sM9CL78BPY2R6cB1ZwDy5dW8Be3rplsh0</t>
  </si>
  <si>
    <t>https://mega.nz/file/aQNkBYLR#CmwAaA6mKZ6LMPeKZBWHaF-Dg-sMsvOK7HOxWBy9_W8</t>
  </si>
  <si>
    <t>https://mega.nz/file/WYFQwQRQ#1IAOOMalRay3zjX0fQN3mUOglMBbCjS6SCYBvLwLZ7s</t>
  </si>
  <si>
    <t>https://mega.nz/file/LMslACLB#dxB2ytz878DDQ8FTJpGE-hQvJa6UZ8NXSVTZ9sk18-k</t>
  </si>
  <si>
    <t>https://mega.nz/file/eZMEXJCR#ugugwjqKNuBi7uHnYCjKhjaKsWyJla6cxRCy_l4DE1k</t>
  </si>
  <si>
    <t>https://mega.nz/file/bRFzHTrY#GROyth1PxmoYc19RCK0JR3QJwwR-UVNQmwYFXci0UqQ</t>
  </si>
  <si>
    <t>https://mega.nz/file/TVEzmBra#dOeLSkW6_nTAyKrkPpHouvS2gA3ySaQz6kGMmdHWBhY</t>
  </si>
  <si>
    <t>https://mega.nz/file/3NdSVJSS#AP33-f3a2TAnMD-Dtx9IL-1PrP3JlChKOGuaqBaKXyk</t>
  </si>
  <si>
    <t>https://mega.nz/file/6V9Q2KBD#wb-or-IY785feMfCKuU-3tyGPuqg8wDmfh6vDTZt4ds</t>
  </si>
  <si>
    <t>https://mega.nz/file/mNMmAYDb#qHa2AxmnZY8WGWUEyJWAIuaLyHW58jnzy5FbuC42RAg</t>
  </si>
  <si>
    <t>https://mega.nz/file/iIdl3aoD#VRXRo8-QBiR9Q5jKMd44irrZKHNZ1XEbkjz7lLIhKH8</t>
  </si>
  <si>
    <t>https://mega.nz/file/nAc0kBxD#ne9_fXXqFqh_ZFafyaBfvAg4VqgH2P-921-niS7zruM</t>
  </si>
  <si>
    <t>https://mega.nz/file/mN02DCwZ#dXNdb2yG_KIxq8qjQcjIRK_lCI1bU3_IGUEoM33Bsdw</t>
  </si>
  <si>
    <t>https://mega.nz/file/jZlGwYxZ#NJc34AL_peteDmhMBJAdiQ82Z0yeFtPAdmpsPkXDdBE</t>
  </si>
  <si>
    <t>https://mega.nz/file/jdczmSya#W6kGXBpdoWVe81Sa5N-tbqCPdq53X6p9B6v6xHNvj3U</t>
  </si>
  <si>
    <t>https://mega.nz/file/rd1F3D5a#_ky0o1Na_U-Xs1DKb09K1CTX5HL15mBF84q5D0XSxv4</t>
  </si>
  <si>
    <t>https://mega.nz/file/CcsAFLCI#z7ZyEJhMTEREOiQ4sWZ-5BBAZ9vtd_l24FKhcL7oVAY</t>
  </si>
  <si>
    <t>https://mega.nz/file/LckmQRaD#JhLcfd7u5q91i568YDN1YveD06UcjE3xgk99tzpTUxQ</t>
  </si>
  <si>
    <t>https://mega.nz/file/XF9jlb6b#IXrcXCX2fZSdd_CxLxAJxEzPrXcUQ4AleUCOIFAX_2c</t>
  </si>
  <si>
    <t>https://mega.nz/file/KIV1mDbK#3a_fvHjHDwJtW9-7BIiR38cuIRRGU9WKp9ixPCzE6zk</t>
  </si>
  <si>
    <t>https://mega.nz/file/yIFUhLBS#DVLv47g_z3Af7TAEp-az-cVvT931P6t58K5ArSH3m8s</t>
  </si>
  <si>
    <t>https://mega.nz/file/jclVGSSI#WUZNcWbQCSPRVCy-7qkqp9ksYYZxGuBYc5fFlJtEObE</t>
  </si>
  <si>
    <t>https://mega.nz/file/TRcgiAxS#hHk17RPjuieyKnUjLeyAfASo2VlK2QKTHf6HOIBH1ko</t>
  </si>
  <si>
    <t>https://mega.nz/file/bE8xAShR#g1EY01sK2imsei-Ig1kWSDn8-hpTKCTxtTuNHHa7gv0</t>
  </si>
  <si>
    <t>https://mega.nz/file/jU80xDSD#6Aq6mSqizQ_Xw2YRlbslA0CoqKmJCnYawx3f2XD775Y</t>
  </si>
  <si>
    <t>https://mega.nz/file/yBUAHa4S#hgNIdgjxZ2zxWuOBl3p-2WWXGJOspvzvhe1SGdM4BEQ</t>
  </si>
  <si>
    <t>https://mega.nz/file/fRlQVDJJ#M7xDTxzkLFzyX6JuQ4gz3oRXHOAnIEvJRZzYicMYxvk</t>
  </si>
  <si>
    <t>https://mega.nz/file/rMdhCA4B#Dkmyw-Swe4Mr8bQ3mQMlQlj7Qo7ostFVxfbZ4H5tXKk</t>
  </si>
  <si>
    <t>https://mega.nz/file/vAM0kKhC#h303rCc8SRhcz9fuKHGnMMfKPC0a00-To51ReOzqDz8</t>
  </si>
  <si>
    <t>https://mega.nz/file/LAsjBDbI#iETS9OvYFr4ur-CXkT7dGfnSDTkFkM0L-RZMUOteH4Q</t>
  </si>
  <si>
    <t>https://mega.nz/file/mUdRTKYL#NmcQb-FTlfU1BBQTd-kpbenp3wofubwvaMq5zuwppg0</t>
  </si>
  <si>
    <t>https://mega.nz/file/6dkkXITI#8Y2ymMFveaMz5QlrtU6Rh-kwa-wYzIcrZvdj6M6zz-E</t>
  </si>
  <si>
    <t>https://mega.nz/file/CZ1RWBzI#5WREO2KkqiFfdnSyKzUd7vEyzQ83kvyRjRX_72dfbmw</t>
  </si>
  <si>
    <t>https://mega.nz/file/LQFhXCLA#oQyMlZWHFAXcolNuAvA5mxqQXUTRb3jVE1G9xMKf8Vg</t>
  </si>
  <si>
    <t>https://mega.nz/file/WA0EhQAR#ygo8B0Yox2twmzpM-7mTpeMZ7rmIyt93diTyz-yyRY0</t>
  </si>
  <si>
    <t>https://mega.nz/file/6d81BRTZ#zODvwRj_Ic9WrbXbftEza7K_jzqzrRYsiQvzCBL-azU</t>
  </si>
  <si>
    <t>https://mega.nz/file/LFtC3RoJ#vsDinoJuB1tpxLOVOp-5ENPWyBYaYMChK23MijwVTTs</t>
  </si>
  <si>
    <t>https://mega.nz/file/PclmmAaJ#j7F7NcFFN4k9-xbKuXBHoeeXJ-GioPp81G7ZVp88vuA</t>
  </si>
  <si>
    <t>https://mega.nz/file/Dc9yBIJD#Mn8KQdibj5u-9xwABmv439dLrjwQZLhCDpI--at2BIs</t>
  </si>
  <si>
    <t>https://mega.nz/file/uIUBhSTC#JJgBiN3CZtNftqs_pY8-LNIqdolsuQYfW-FfQ_ClcuY</t>
  </si>
  <si>
    <t>https://mega.nz/file/3YMylJLL#O9S7zAHH-F_pr91DHEstZRol9RXCyXgBzLyaMBYFS5Q</t>
  </si>
  <si>
    <t>https://mega.nz/file/vBcn0D4D#LwoKPWyqPUoBq4DZbOuVrhAjXS_k2V0w7IblVHsovSQ</t>
  </si>
  <si>
    <t>https://mega.nz/file/mNMFUSrZ#BaBMLGxbE0X7bYFIycy5HzILQXGqWnDoF3L33QvR9sc</t>
  </si>
  <si>
    <t>https://mega.nz/file/DF8EQZLQ#Mmz9_6ZyVMSuCju6BvH1bSFwZpH2Ct7eD_kAfO40_qw</t>
  </si>
  <si>
    <t>https://mega.nz/file/iJFCHIyA#d_LfjXNpjNBbktlvjml61V_Naf17E9RiK_OBsIJtmic</t>
  </si>
  <si>
    <t>https://mega.nz/file/PNt0QbAT#CRcFnToANKYhvakwTCmuLlUtvGGvdMd4m2Xk9AvRESE</t>
  </si>
  <si>
    <t>https://mega.nz/file/SccByDwR#XBv4GnPnCX5RZqbPw6o2jMM0MZKJnk6tPtIwuk-qAoo</t>
  </si>
  <si>
    <t>https://mega.nz/file/HJFwkbwK#hpmJxm948NrDqh6LQ4crJD_qkc7gxc5Ocnyn5rYQjHo</t>
  </si>
  <si>
    <t>https://mega.nz/file/vB9XmJ7R#_Mq5j8EwMsav_PpV5v-YjjO8xXA47GnPnNqfA7mW8as</t>
  </si>
  <si>
    <t>https://mega.nz/file/bN9S1RBC#RG-P-PBaAQZWZFVNnH9eMASaBLTIHffWsdx-SbhSB9g</t>
  </si>
  <si>
    <t>https://mega.nz/file/LBUhFQKB#BnPhRwHl61azIG8kxWqlnJryKvsU6YmpIp-UUzN40sU</t>
  </si>
  <si>
    <t>https://mega.nz/file/fEFzhQRC#niJJUphypZuKn04_UTDLeVzI4rmHwKRu6HzjQ70KetM</t>
  </si>
  <si>
    <t>https://mega.nz/file/KB03jSqS#68xVuZ6649HAQC9YTN9ZbrhK8hVu1kHI2J7q1St5Bqs</t>
  </si>
  <si>
    <t>https://mega.nz/file/CddQSDyA#9A-gEpNdRrpYKAzc1vAbz0zEY8K9IzevQtekqPQ3Lfs</t>
  </si>
  <si>
    <t>https://mega.nz/file/iJF3iJBC#QYYUZ01PH5jXTN0F46Rm4bVROpHaQQ3K_Xffxvm8RQQ</t>
  </si>
  <si>
    <t>https://mega.nz/file/aNlinZLD#-T0WWkWN-xbKNzjdOz7opVoNb8TtS98pyhpMv_IZigc</t>
  </si>
  <si>
    <t>https://mega.nz/file/vY0AEILS#_VzPnULlBNnW4TSHezDYahi41cAeMNPyCUvF0FP2__8</t>
  </si>
  <si>
    <t>https://mega.nz/file/CY1WgRzB#qu5-9L42jbQTqy5SHvvNLC2On90uchC9C4vpXCAViJY</t>
  </si>
  <si>
    <t>https://mega.nz/file/iYMGXJRT#q83tBmE_WI4Kie_lDhjSZtnvmdoLG136XQ38IvXzZY8</t>
  </si>
  <si>
    <t>https://mega.nz/file/XBN2QZDJ#10pyeIq_CncVYzAEMs2U821HA3DXQy9JifSEvsdJ2Qs</t>
  </si>
  <si>
    <t>https://mega.nz/file/KIsi0QKC#doEIc3s59CpzOgAOOtWjs3Ehbjc6YaNjjBSu9uUA7bk</t>
  </si>
  <si>
    <t>https://mega.nz/file/nUsGiD4J#VJEG9l_IfPh55xP9vzOnE1XonhH1e5u__MPvkz6tXGc</t>
  </si>
  <si>
    <t>https://mega.nz/file/7Ak2mbqa#W_u25oYM4QqFlmGKOrVEsqPugFgcL9-x8iCkjVgBYOk</t>
  </si>
  <si>
    <t>https://mega.nz/file/bMsWVYCD#Cr2QyHaWk963rV8jBgHJfNT3e90boxziqSBTNg4EGUc</t>
  </si>
  <si>
    <t>https://mega.nz/file/OBc0AbII#MsNiu-piEmGpw0L_bP0CDbrGCf1Q_sSG1Bc56gm7xKU</t>
  </si>
  <si>
    <t>https://mega.nz/file/CVMDUB7B#zKOdEst2oSEpOUUdnuuhi92MTj59zsCdISwI7z9eTXQ</t>
  </si>
  <si>
    <t>https://mega.nz/file/SIMUwLDY#r9Ny8hCCCCwZUK6jeneiS9wKbzWFmVjEP_fBHYO1SNs</t>
  </si>
  <si>
    <t>https://mega.nz/file/fYcmSDZS#QgfIAYZIa15ePWoo0zRvFiivmuclflIl3sl1BtEbPZI</t>
  </si>
  <si>
    <t>https://mega.nz/file/nIMVCLAI#hbE-KLqL5jxWHIN2TlxFhUh4RxyjiCnzouZf97CK_rQ</t>
  </si>
  <si>
    <t>https://mega.nz/file/LF9GhQRK#WEVzg1Y7KogxPJCraZ9znAdprl6yZLJK3W59Ei_pjcU</t>
  </si>
  <si>
    <t>https://mega.nz/file/HddQRSiB#Vbrf2awiOYL4u6ROx-l1h15dFWYm1MbiYkFnhypj9UI</t>
  </si>
  <si>
    <t>https://mega.nz/file/7dsABKJR#YCA3gbw_7zZSmyCe7a3dzYXjO8c-3VZzn7JA5q7tQIU</t>
  </si>
  <si>
    <t>https://mega.nz/file/jRNXVLLK#XtoWo-HgG2SjYofSzwfMtkFU2MjsPQjhBIIG8r3fjMk</t>
  </si>
  <si>
    <t>https://mega.nz/file/iA9S3TaT#ri8aEwaCNHXWQ_kOjaNaaMggyGYc3VIkIrxnUzq4FRQ</t>
  </si>
  <si>
    <t>https://mega.nz/file/zdFASZCJ#jK97CNoQkQyu_1qGrOfYXjtxOP8KYLSKNHqwWMYYYPw</t>
  </si>
  <si>
    <t>https://mega.nz/file/TVVEQLBK#Eqi5ycXwelwmTFwuUiXPp6E35NgW5XNMe7E2_suo2k8</t>
  </si>
  <si>
    <t>https://mega.nz/file/7EdFmR4Q#8CmtRkzoVEeX9JxSfda5PRUw4CK1ZupQdNUxqycF3kU</t>
  </si>
  <si>
    <t>https://mega.nz/file/TZkGhSga#IWq8g85UWf_-0t-HI90dNT-nbw54BaAX5z49zYm9vb8</t>
  </si>
  <si>
    <t>https://mega.nz/file/uQFzDbwI#d38Ke4izhbHMAhCGvcZ6XiTVgFjL5v9jZPVKqgtZPhU</t>
  </si>
  <si>
    <t>https://mega.nz/file/eFdRQAIL#AY8OxdceGpq7PQwYyH4-2YbW3TIRh5zYZWjPX4H7NsM</t>
  </si>
  <si>
    <t>https://mega.nz/file/PAl3mSDA#PbZxUpYOH6qNXU7entjDTOyCAmY6loTZgncSgJv_zP0</t>
  </si>
  <si>
    <t>https://mega.nz/file/yNERRJRS#vk_RrGxdC9n_qaqOY1NqghJpYZKHGk4Dqdg5igPgUd0</t>
  </si>
  <si>
    <t>https://mega.nz/file/KF9B1KyC#UazqCQWVpfHS4iiwBeQZAYX2PPZhxMliw3X4tmd0hfs</t>
  </si>
  <si>
    <t>https://mega.nz/file/KcUDVLIS#HW-QyfEkdbYkd5TWs8X353YJKrB4L6hJpks3xX8Ehts</t>
  </si>
  <si>
    <t>https://mega.nz/file/qd9xyJiJ#yxGCpE7LozCouBvlkVO7lsVd-qSIDkpyGKkIkOKk-FQ</t>
  </si>
  <si>
    <t>https://mega.nz/file/2d0AXSjT#QrEWltK8IxAY6I-4lU2XP7CW-x_x5CHixNEHnpmn4sc</t>
  </si>
  <si>
    <t>https://mega.nz/file/vFlVxLhS#lPoGhe9eyM0P1_KYWu7TNP4iodIWAwXRemeZen9guEQ</t>
  </si>
  <si>
    <t>https://mega.nz/file/7VEnRJDS#g6eU9R5bvbvWB6WRx5GnKRVpLZJ_-66TCDze9mIMcJs</t>
  </si>
  <si>
    <t>https://mega.nz/file/zNlUXbjI#Z1y7oqIjjU_rxuZUkzFnxu5dWJgTvSSvgXsvGJ7OCb0</t>
  </si>
  <si>
    <t>https://mega.nz/file/CV9nAI6b#Wo9aCowVWHgspvlYBswZUDS9UOVdUr6aNbyMagL9yz8</t>
  </si>
  <si>
    <t>https://mega.nz/file/TBdTRAhT#SHj2JY-Rkg4_MK7WkbJBxkSR6Hcxqyt4w_cPsVQeJcc</t>
  </si>
  <si>
    <t>https://mega.nz/file/2YEjFCQa#Ctp5i41KQVJLObJ8oZ8YDj_lCe1h5Y-AAIlyo7yUS1I</t>
  </si>
  <si>
    <t>https://mega.nz/file/mR1iVQya#HL-_nnEivlTJ8kQyfRFErUzOIAr59XeqZi8x-xnsG1w</t>
  </si>
  <si>
    <t>https://mega.nz/file/iNF0VJyI#FZvPMBS6irwN_YIduHFcm9CRckcGqt0IuM4EIYRl0SU</t>
  </si>
  <si>
    <t>https://mega.nz/file/2FVQgLIA#hjmdVZq0E_YJxdihZ8n8ZctkFBnC-MMfzmaO63W1XtU</t>
  </si>
  <si>
    <t>https://mega.nz/file/rU9QxK4S#nhFf90xAqcxMc2i_9UTadI24XBJVThbinyLk85rcMss</t>
  </si>
  <si>
    <t>https://mega.nz/file/DMFVAR6b#byfHbgIICmsoR4YvZHLzetJQgU7eotYcaZhhJp0gO9Y</t>
  </si>
  <si>
    <t>https://mega.nz/file/KAFRGQjb#9AEWKNIk5-gr0MhEAuYD0G0gj6hhlgOyGUaK_ON3Iqs</t>
  </si>
  <si>
    <t>https://mega.nz/file/PENmXZ6I#fsPbwL4JBYbVD280BCkpO7Di5pgj7AGnq_PerPXUjdc</t>
  </si>
  <si>
    <t>https://mega.nz/file/XdMjSArY#pAXRjCmgA3SqM093LS7b_XXFTNfT4ux40xKrAqhgw74</t>
  </si>
  <si>
    <t>https://mega.nz/file/CA9QTC7J#vdLIrSDO6IqIn_wLIjQ5FDOb2IIZaWn0W7zKiiuMyc8</t>
  </si>
  <si>
    <t>https://mega.nz/file/rBMSxT6B#PW1T2HIGlwR5UfXYncmTq2H9uR2n2re6QcOhO-7LNBI</t>
  </si>
  <si>
    <t>https://mega.nz/file/eE9QgZZS#HKxjTMzDIY3GMdyhFRL131kE7mfNtiHseT3ztesJ7wI</t>
  </si>
  <si>
    <t>https://mega.nz/file/bNcxCAgJ#IeSxXOylH-LV_Bkz5QKbXxEEOU0647A2Qk1zHPi_haQ</t>
  </si>
  <si>
    <t>https://mega.nz/file/bUMyHITC#L8FEbTB4D4aBTQx5fkrOadFrsWZx4ldCX8a2G6OrBSk</t>
  </si>
  <si>
    <t>https://mega.nz/file/eIN0AQIB#PQD0OkkjB8bQHYMa7Jeb8JaDXw-BRkXE5n6UTwHo5Pc</t>
  </si>
  <si>
    <t>https://mega.nz/file/PY1xHAwJ#F4jvtJd3nGlAUCRaCFVqkAHZnT0rFuJOiCKFmU3Uzcg</t>
  </si>
  <si>
    <t>https://mega.nz/file/2JFgXBST#x7nXbmH0wERUhVijJhR4ZUuJdvq-sj_TRyGwfcjud7M</t>
  </si>
  <si>
    <t>https://mega.nz/file/zId0zSQb#nTmAxWXXnaki9GOUtOT2QXC-sKjHta3yv0yXMQW4Tco</t>
  </si>
  <si>
    <t>https://mega.nz/file/DIdRnKoK#vO3Quw88ENoJ7OUKS780rGPYjOKjOGNx2UfoEvYArQI</t>
  </si>
  <si>
    <t>https://mega.nz/file/nEVDiDJL#EjlEQ2JbViYcTbz52wrMJOyA3vsR6WfRJNRjgE21-9s</t>
  </si>
  <si>
    <t>https://mega.nz/file/zQ8kQJ7A#4eaqHd7ILgBmb-HxBDkuxZZKmFhu0Vp6lSRpg1dDqh4</t>
  </si>
  <si>
    <t>https://mega.nz/file/3Z830RjR#xrxImJFxSGr_g6NnDSb3xY2X6_xnblIKTZR967AHCAU</t>
  </si>
  <si>
    <t>https://mega.nz/file/DE9FhIiS#okd_eH9ILYChlrvaGK5N2mjuGmr1v7B4lKsyH95qI8o</t>
  </si>
  <si>
    <t>https://mega.nz/file/qZECwRgQ#1qtGEtfjZVotukwuDLP91iYScxFDe_vxClx0ShDRZ5I</t>
  </si>
  <si>
    <t>https://mega.nz/file/6J8yWaCD#HX9yko4wLKAHquEp9Zj48ZyGjPZ6akWHogEnhG-96Gk</t>
  </si>
  <si>
    <t>https://mega.nz/file/bd9GgKKa#zLm8GPVjBUydON5LU9750PBxxU3MN-x_aJaG-eYipHQ</t>
  </si>
  <si>
    <t>https://mega.nz/file/7MlBXIaJ#cxtTHGl7qAOdQ1goshIrHZb485ZNQh2j5jcJ6Cd4hhc</t>
  </si>
  <si>
    <t>https://mega.nz/file/fA0mxJaI#uW4jdfMlMy9Q_jt6eNIBl1vFH8IF69Wq5uptaBvF5aE</t>
  </si>
  <si>
    <t>https://mega.nz/file/aItziTDC#LSko769m3N4GpPeeJ_b42k90nF3rRXPTYppsCZWJ4mk</t>
  </si>
  <si>
    <t>https://mega.nz/file/XQkXVIra#o-UHT97xqSMt6V_N2_huTFlvJFyCB13cOJfUV_ixlc4</t>
  </si>
  <si>
    <t>https://mega.nz/file/eIlhXJrC#v1eDMy4rQEnRAp9MBT679XuaBFWpZkTvrsowSH28Aqk</t>
  </si>
  <si>
    <t>https://mega.nz/file/mdNFDSpI#5JZqj7Qojh3R9ClWqcVQNTYN1JbA5hj4w-FI6oTNGZk</t>
  </si>
  <si>
    <t>https://mega.nz/file/LN9ECbBJ#Q63uGLh52wnkJ-TGeyJCFTsZ1a8t-k3Xgk0PSYcDDdQ</t>
  </si>
  <si>
    <t>https://mega.nz/file/KEdwwboB#dBURaRpWnPcmhsmYgBJ6-sLgxlPn1kbcs2aOPefU6zc</t>
  </si>
  <si>
    <t>https://mega.nz/file/zNECxLAZ#ucIIwu1Rn-ZGyaTZomRsdulYWyEDSrVLYiLowHOOMVY</t>
  </si>
  <si>
    <t>https://mega.nz/file/DI9nhC6S#-NYzMuCw9se7dvjGlcKiCrxAxuFpDtnV8VemZlNqjIc</t>
  </si>
  <si>
    <t>https://mega.nz/file/aF8zFDwT#Cr13DWEn-zPA_mMvS37iSWL9hc_gzR9eH-gkE0WZeAU</t>
  </si>
  <si>
    <t>https://mega.nz/file/3QchgLZJ#ePXgrBIRzCDeoBUIfFdG7xoQG3aDlXfCfp_tJo_nSnE</t>
  </si>
  <si>
    <t>https://mega.nz/file/KUUhELiY#kJrP-aKuwkVDIl_1wycKSoGE5rdavL552EFE675_cm0</t>
  </si>
  <si>
    <t>https://mega.nz/file/SJV23CTZ#H58KYIRWUr7iKhhnq6_X0oSxm2Lbf6m3dGsxOWfmWFk</t>
  </si>
  <si>
    <t>https://mega.nz/file/yVlXSZiJ#PyR38zO5IVCqaHVhENdDfTjoCkA-VRP6YZ5wV7-wHUk</t>
  </si>
  <si>
    <t>https://mega.nz/file/rI9zyRJa#QxC0Gyy-XzG-Cq790x-SPyDZFTEJKJuwg5XL2or4gpI</t>
  </si>
  <si>
    <t>https://mega.nz/file/jNEHzYAS#ogMjBDEnr5C7yr_bDr8veCCyxcYxX46j3pLO-FUyUkw</t>
  </si>
  <si>
    <t>https://mega.nz/file/eEsigKqQ#PK3V0U-S7_MsYh8kP216gUfttDhjLSCRsNIzaiD8ht4</t>
  </si>
  <si>
    <t>https://mega.nz/file/vMFzlaaR#7YPXSXhhG4qfHE6xDgsYxOSH7IrF1BNgGNQlB-DkEzo</t>
  </si>
  <si>
    <t>https://mega.nz/file/mE9QhBQR#FMhGd0wLm1x7ZLaUzrw5NKETN9j8lOYSSTXE2l95dEg</t>
  </si>
  <si>
    <t>https://mega.nz/file/WMEgGbwb#nkYiQmhW2uGf1Q49uQWuFz0ZvpQPD5tDHyMoQk0dRxM</t>
  </si>
  <si>
    <t>https://mega.nz/file/GcMH3TaY#Qlul1KkznU5rBPAC8N2MCs5BIy_YY1-1HWau83-dfaY</t>
  </si>
  <si>
    <t>https://mega.nz/file/vJsGjYBb#FypbZOFiQ5FZaxsPCbUJWMtr1Xq7-K_Jnle1AHhxdEU</t>
  </si>
  <si>
    <t>https://mega.nz/file/3ZdmUY6L#cx3cJpYyAuIsw-0JufxLWcI0t2uU4j7MOf2XpYWrodQ</t>
  </si>
  <si>
    <t>https://mega.nz/file/WA0QkCDb#6F7QtQts1q3C2rhwT_Oo2oD4Y7E9BFea3h56KvdB2GU</t>
  </si>
  <si>
    <t>https://mega.nz/file/CZ1EwYDI#zxCQZiVm07bd8jI3aTrfmU06NQsJLcQOl2ZhYP3VVt4</t>
  </si>
  <si>
    <t>https://mega.nz/file/yBl0jIib#EinWtDRjRzGHulOoBspMbU8qyUHecAWKzQ32wtuoJyo</t>
  </si>
  <si>
    <t>https://mega.nz/file/uA1VyBLI#Bthuq7NjBN23KzPKS7ftstJFCZh7tcVV1GGSaWXi2B4</t>
  </si>
  <si>
    <t>https://mega.nz/file/HVlDhbLC#pFGYxjmsLBojeEbIKcuQ8n3WfirCoXad0xD7MciMhzo</t>
  </si>
  <si>
    <t>https://mega.nz/file/rc9AjBLL#vxIgpXXfW6xQFxPbDrPqX3HHd4T4GYAbaYhwNcuW_V0</t>
  </si>
  <si>
    <t>https://mega.nz/file/iVFDVArZ#KUBJc6haYlQ2PUMif43OUVNXBHTZk9IYANLd40PRtZQ</t>
  </si>
  <si>
    <t>https://mega.nz/file/eAkQxbhB#2_s0HO9WTCzybbdPnN8jTiCOwp7JSwTr8P6eftICVu0</t>
  </si>
  <si>
    <t>https://mega.nz/file/mAsFUKLB#2_3qfs2mGHJB750KZaR2v5Z-29mjqOlb-loHhho1ESI</t>
  </si>
  <si>
    <t>https://mega.nz/file/PR9QRKDQ#37zugjzD-2IELMMx6QsGp5O-f6gL3K9i-AtuAEU0qFg</t>
  </si>
  <si>
    <t>https://mega.nz/file/nBVEAb5I#HWzpdsZr2BFQef5ThpB-zkv78JYl9u0VY2FjhR4TZGM</t>
  </si>
  <si>
    <t>https://mega.nz/file/6BMhSLIR#IvZC2ssolfL2x9ZdB4QoRNbymiQJgcQrZsNhhScim9c</t>
  </si>
  <si>
    <t>https://mega.nz/file/fBVhjaJC#ME_PnC87ALCGLY8UHKWX2GT4zQmgB8BCO6oFJ81SOyo</t>
  </si>
  <si>
    <t>https://mega.nz/file/LN0RTQpT#ev54D7j9MAPJX7XPpEkgJPj2Nu1hvHdQitExk1tLQog</t>
  </si>
  <si>
    <t>https://mega.nz/file/CYEG1IxQ#ZIErsVDAsUnPxYHoTSSLRoakogSxsGBmRgGbsbeu9H0</t>
  </si>
  <si>
    <t>https://mega.nz/file/2JMjFYLS#YI2xdhhTJhPIKYAkzygu4KW9Qb3pwe00ymFDtPZbHrQ</t>
  </si>
  <si>
    <t>https://mega.nz/file/6clmnICB#9fk24t_L9xId94ypf8IRFf5ZnvUQ4sTv-i8WyXid-mQ</t>
  </si>
  <si>
    <t>https://mega.nz/file/2A8H1AbT#B5yVEc4ixMUe1Y-cJVSQXOWkUXB0mnxEz0-suApc8rU</t>
  </si>
  <si>
    <t>https://mega.nz/file/SdsAlYhL#yAYkpcF_HUu9ezI86R3szVZpKhGYpUsFbSVL-NqXZEY</t>
  </si>
  <si>
    <t>https://mega.nz/file/3FEzmB4B#ZpdEUQpqmKeh8erhfXqOxjLXsPIoKxzCnYnwJrzRWcI</t>
  </si>
  <si>
    <t>https://mega.nz/file/bJN1ATAa#mmMq_oLUDWYcDSXVfkpFxgUocktEQNRF3ZYQ3PiVtag</t>
  </si>
  <si>
    <t>https://mega.nz/file/iN8jmbIb#yFlf5R14rj7sWYa9EJyi2HmisAfQFKOwjBe37raSUJc</t>
  </si>
  <si>
    <t>https://mega.nz/file/iVtCUS4K#Yop27Gmu1e8L4j57XPnCeowqGhCo-sNU8TeOVRhdOvQ</t>
  </si>
  <si>
    <t>https://mega.nz/file/nJk1xDpQ#vVQtow5uslCT8Dax7BIuMtK3rvzm6RQQ12JYVtwqoWQ</t>
  </si>
  <si>
    <t>https://mega.nz/file/OJsDECgI#hgSBCM8nMm9ZifNb5NHbhok022LBAFTis9OqRnZ-BiY</t>
  </si>
  <si>
    <t>https://mega.nz/file/nEFiBZSB#9F6fnAie_BdfwKJkCrIcuoKG4KyC4s2Fq_tHRwqIjnk</t>
  </si>
  <si>
    <t>https://mega.nz/file/vR9VjSgJ#Ck1iCYrZdmqtRvuhRpbNq98_buEJkAVIU_lJHqzH3iA</t>
  </si>
  <si>
    <t>https://mega.nz/file/SEtijZRL#B7KOmMScSGe2KU98ywsEE7tsLwMyaFh7FFbXvqZdv4c</t>
  </si>
  <si>
    <t>https://mega.nz/file/yBFXlAAZ#ggd9tE3mFey38CdnKaWySi7LByEDGk78U2oQISpra3w</t>
  </si>
  <si>
    <t>https://mega.nz/file/zdNGQRRR#YPZY5aFXFWYwbUkJPfl3nAyXv0lpp0seQByLadyoC98</t>
  </si>
  <si>
    <t>https://mega.nz/file/rAdFyRrR#XB3IM1YPWfl4VIXbKUYx0u-q5itpxjpdvvVVLZ5EojQ</t>
  </si>
  <si>
    <t>https://mega.nz/file/jEcnlBZI#KHzzZyBsgWVa6Hm1VTmgBhQTi6yfAkua493EZEJb65g</t>
  </si>
  <si>
    <t>https://mega.nz/file/6d8TULJA#aY0caQBZbs3n-rlVajMTjjeAjWz4tIfzOdbuaaC3Y-c</t>
  </si>
  <si>
    <t>https://mega.nz/file/KE8j1CSb#TD1utf9noPJatNlL-xYjmZmDVyoQEVg2IAgLAZzQf7Y</t>
  </si>
  <si>
    <t>https://mega.nz/file/TdV2jRYB#4vaYmcKW84xsxplkn0UnFlgWarPxG56ebzWd3GFRfwU</t>
  </si>
  <si>
    <t>https://mega.nz/file/PFtnBIzC#b1fkYHRtCy5-92_LO26RYojg1es6Ma4tyuSUys-elec</t>
  </si>
  <si>
    <t>https://mega.nz/file/WB8yWbyT#Aojf4YM1faQXJq361ZE1F7WSAO7cnclQ7DB-SYR4G3k</t>
  </si>
  <si>
    <t>https://mega.nz/file/eBdx3a6D#UQWinOrrl7niyZYbDJIPB3QAkddN14ABU5ABApr2U9U</t>
  </si>
  <si>
    <t>https://mega.nz/file/vFNXkQJB#ZS0h4MSXp3bExpScey8oN6qM0bNxA0zvOelVDaLatCE</t>
  </si>
  <si>
    <t>https://mega.nz/file/nF0CgbCA#_DXWTL795ommonPegGPlFNmFa0eIQ6BBe7B8PYzsFl8</t>
  </si>
  <si>
    <t>https://mega.nz/file/eEc0QBCZ#Tw2uXicWeBeGQNDWrFqL2QtNsaGMQ_EEPB31rfeUINc</t>
  </si>
  <si>
    <t>https://mega.nz/file/TcdjQQaA#jrsosxj6V_pnUB7St4Ds2vne3PUU1SqQXFTtiSi3NgQ</t>
  </si>
  <si>
    <t>https://mega.nz/file/yUswyIIK#BI_gxq4270Rt4noi_g9pRQWsl9ChNhzzxWTkogIe7tg</t>
  </si>
  <si>
    <t>https://mega.nz/file/WY1FnDrB#Qh5iurnglncUJEbJRJavQ_iVf1N5oZtIHdkwGuQBMoo</t>
  </si>
  <si>
    <t>https://mega.nz/file/6EtHTQDT#q6sGLaKu6VAKHP6MhseNSkV70Sz4pKKHrC136nv94is</t>
  </si>
  <si>
    <t>https://mega.nz/file/CE0EwLQI#kZPitsREgYlwiPqk-oCj_Pim29feXRL9UE45awd8L9g</t>
  </si>
  <si>
    <t>https://mega.nz/file/3RFAlJLR#6IV81X6jqGDgZpD4Ky3UhZezh3MyWyz46aINEGh2I6c</t>
  </si>
  <si>
    <t>https://mega.nz/file/fEtgQLrT#0Y28EGjd61KAXmb3wllXM2jLb52jPc-YCOiRDg7q2pE</t>
  </si>
  <si>
    <t>https://mega.nz/file/bd1wyLwQ#hygrNLwINhfaE-qZIxhBYZTZXE-CRr0FZ7YHG413JRY</t>
  </si>
  <si>
    <t>https://mega.nz/file/ucM1iTDL#RnbziKCgM-EI489pf4pYQiLmObqPD5wtXnPzEZAHbxI</t>
  </si>
  <si>
    <t>https://mega.nz/file/PVsSBZTT#UUJsYRK5Eg2DlVlUIXV5EnZuv2DGCn1YUnvP_JLxlOM</t>
  </si>
  <si>
    <t>https://mega.nz/file/LZcBxTyQ#dDaFJ2DNr7bvHKwPgJraDt2D9udKi64BNqv1zsatpWA</t>
  </si>
  <si>
    <t>https://mega.nz/file/2N1HBZQI#g8T_heS4PElrYAY-hISoS7lyWOdV0bcvRykYqXePaDU</t>
  </si>
  <si>
    <t>https://mega.nz/file/uQ11iYhS#M0lQ4fTnbjyQQWh2zSol_5_w4EnJs8rbH68evEzU9AY</t>
  </si>
  <si>
    <t>https://mega.nz/file/qAFwiQwA#Iz9d5YcVDwy1JpV8EsdBiHfaQf2gFN9NPwuSiLM1AII</t>
  </si>
  <si>
    <t>https://mega.nz/file/XVdgRTID#vDSHOffKahJ9LU8jYIS9MMtQW-vmo64ItxZ-0Y67bA8</t>
  </si>
  <si>
    <t>https://mega.nz/file/PN8GRRYJ#YNOAwy0VOQBWLP0ufQTHgmxWXTRa0MclHoVUaZIV070</t>
  </si>
  <si>
    <t>https://mega.nz/file/qJc1FRwC#7OV2bB-nBjXW86MOJjI3B3MbZX8sJ2HLtiIt4I0jCPY</t>
  </si>
  <si>
    <t>https://mega.nz/file/bE1zAZrZ#LUTtBprvQ7Y_8axQfowqPfu7Yl8QImZ_bTi9W1Zi-Z8</t>
  </si>
  <si>
    <t>https://mega.nz/file/OVNGjART#FfaoY2CLKeCLDJDt6hr_wVYtplDTCmA-Vw8AbhFOK_o</t>
  </si>
  <si>
    <t>https://mega.nz/file/LJ0GCRYJ#jVa_su65Rd0rkz32VYcPBeQFEszajHHSlXJJJAJRZK4</t>
  </si>
  <si>
    <t>https://mega.nz/file/yFUQiCrZ#0duD8hozmgwrj6br_nsTrCs9cbaZmLVdabE3Mq2EVuc</t>
  </si>
  <si>
    <t>https://mega.nz/file/zdF1AK5Y#dlZfrjf-_6VacdVp7qtPK4F12NgCXGCWvRdeeqO1rsA</t>
  </si>
  <si>
    <t>https://mega.nz/file/qAEgTZyI#8Qmx5chUBW59SoqHZBld0jS2pOBSEY1S6yxzQCz6pPw</t>
  </si>
  <si>
    <t>https://mega.nz/file/TJFgyYKC#fcwdpDJTyJr1aUnmpa9Z8HvtlDzBna1cQykSSMV6s80</t>
  </si>
  <si>
    <t>https://mega.nz/file/yUlWVIQI#DqdzoM4eS4KloR4LwhrlUGP_h3bsUOVzhWMnf8CbI_U</t>
  </si>
  <si>
    <t>https://mega.nz/file/SVEAxaAD#vcXgaC_YKUfx65dL1r2GLWEGNsN3m_T8A2ru0xbpNac</t>
  </si>
  <si>
    <t>https://mega.nz/file/iV1EyK5L#peWSRMXSxSA4yp8mo-rT5iju-Mv5ny4BHo0xWUq5mRQ</t>
  </si>
  <si>
    <t>https://mega.nz/file/rVsXFD7Q#xAggTfUJWytFtgZr-e6rw4lYCGM8DsEI00HQvn2ZVJ0</t>
  </si>
  <si>
    <t>https://mega.nz/file/2I8yhRRC#r21DWRie8OpZgkKlTTwvQ-lISPsG5yq6hd-rvau1DMM</t>
  </si>
  <si>
    <t>https://mega.nz/file/PAFzkB5A#lhvtv95fYg_ZTiDGmG0F5S1kn3-Cz0iUdKaxgOD-kkc</t>
  </si>
  <si>
    <t>https://mega.nz/file/uYFlCTKQ#lxPrAvYWDSOjI5LV23daC3WOi4vjPfjNcdNCBe_NL6Y</t>
  </si>
  <si>
    <t>https://mega.nz/file/CdkQUbDb#f-IX8afDj87EtOUrxjuwnMEzBA737C8_OIkKsvv0HJM</t>
  </si>
  <si>
    <t>https://mega.nz/file/2dtV3RYD#ykmJCO6988xNzdHOkk8vdOiyRE0Mf3kACIWtVJEwsHE</t>
  </si>
  <si>
    <t>https://mega.nz/file/WJcmBBrK#MIfA1qvjf_8EWhePhjf2tVKs3sHdSTFkMEW1JJO3ocs</t>
  </si>
  <si>
    <t>https://mega.nz/file/WREAhQAC#sIyuLQSTHhCaMdcxysdFthEXr1bOlI1vJLKuqOHg-eU</t>
  </si>
  <si>
    <t>https://mega.nz/file/6ZVQ0aDA#GB5pXfsIKdQRev-el5xKk3yOPf7N5sWNHykzzFX_N7c</t>
  </si>
  <si>
    <t>https://mega.nz/file/SYMyCBjT#H-OwlfIk0-F8HK1wEzn4HQGxrG80jTdwTqDM7py_CFc</t>
  </si>
  <si>
    <t>https://mega.nz/file/jYl1CKLY#GFGyFFYZzZvvukMk7A9MBxLlicDWWPJVYj4mm4zwi6Y</t>
  </si>
  <si>
    <t>https://mega.nz/file/yBlmALhY#8Q0kLZ6cgQw49AMSmzPACMcNbo2B7yHaJ-XIe0OqwmU</t>
  </si>
  <si>
    <t>https://mega.nz/file/WRVWFKQK#t_bvyaBaGAlrSIWizkGJjeHdeXiW-tT4X77b1e2uHCg</t>
  </si>
  <si>
    <t>https://mega.nz/file/TUVwSZgK#ZbjXNCBEGNWjqOuY70e4YyVidTCPxcinPi1e1r1U9kw</t>
  </si>
  <si>
    <t>https://mega.nz/file/3Y8QFAZB#SwhfF-52w59vM2n7I-p5HgD-So-qaWWYMrcKkQH9YTg</t>
  </si>
  <si>
    <t>https://mega.nz/file/fMcnWbLa#B1hEK17ixjI6Jw4TJkghor-b3yZmRKvaG_vaGK_NG4Y</t>
  </si>
  <si>
    <t>https://mega.nz/file/6VUwnToL#4IMJBkNcqwnjE5NJKsaHe1_SZlTMO7phAaGTTKjrDW0</t>
  </si>
  <si>
    <t>https://mega.nz/file/idtHkLwL#oCdzlvWLbJFmQr_QFhZxjKlCSEcAq2soYp7Ef2Xn7W8</t>
  </si>
  <si>
    <t>https://mega.nz/file/3MN1nBoT#TkNJHHeO-t8AyfPJUtRr7PECcnjTgD7FD-S291aboJo</t>
  </si>
  <si>
    <t>https://mega.nz/file/HdsASCDY#dNoDARDyTcTsPlIC3XM_J70ZKoO01_fOxR156JNFi0s</t>
  </si>
  <si>
    <t>https://mega.nz/file/iZMVwbKS#SabPbc7baMxg6AiloEvzdNplLzlsoWlncp5M2BVxrGE</t>
  </si>
  <si>
    <t>https://mega.nz/file/LVFhCI5K#CUZXKrvtznAHbEYAawdzTSxEWXCFgdwnOXfN8h0FaNc</t>
  </si>
  <si>
    <t>https://mega.nz/file/3JdEFCKY#4rTWZS5xV_0K-4jU1qpN9FaJK2qV6VR-XB4p34FO1Fk</t>
  </si>
  <si>
    <t>https://mega.nz/file/zU8SRJgB#1xDTskNZY9zsexwnvgw2Uh5ottDdLKnv9QBfOSTXNC4</t>
  </si>
  <si>
    <t>https://mega.nz/file/2JMniRCa#FxgyIikzWgMATNOVK0VtXy4qo49_lVq6ypTSqmAaiko</t>
  </si>
  <si>
    <t>https://mega.nz/file/zJNkmbyD#3rFouJDzwxaOTlNansHf1O0XqZS-2P9hlCbDqqnbyww</t>
  </si>
  <si>
    <t>https://mega.nz/file/KdcRVZha#6ymV9Wsk9jq7g4uCrteQBy2klcKRn2yiCr6l_HW_hUs</t>
  </si>
  <si>
    <t>https://mega.nz/file/nA9BVQSB#Vg9PJwMERB0B0IJgnJrIMKjhMgIcgMC1Vea2FNprgis</t>
  </si>
  <si>
    <t>https://mega.nz/file/fNdSXApQ#alno3Qr7D9H57yiEXz4NmWYxhO4rDcDqTTHiIGDjsxc</t>
  </si>
  <si>
    <t>https://mega.nz/file/iF91RIoY#RJLnSPiOk-kYNdDe0WYf9HMaCsW9TXBPd-tz2_iDx4Q</t>
  </si>
  <si>
    <t>https://mega.nz/file/qYsBjJrL#2n_-aKXUVQtpaHaRKAe7JtvPztr0S_g_aW6KoPEd5zI</t>
  </si>
  <si>
    <t>https://mega.nz/file/PR1GlJQY#WdNNo_v_s0sev41Jwq5PrMOVKjQZnK4xpV2N9JaNFYA</t>
  </si>
  <si>
    <t>https://mega.nz/file/qcMFATKa#YK9JMz840VqvrKa72ptJlElhXtFTH0t-JyFYeRn8WQ4</t>
  </si>
  <si>
    <t>https://mega.nz/file/bEl1RSQZ#E9bupVP7KgozAkmsHLIJ9OCWfyvPUO2cIzyeSgE845Q</t>
  </si>
  <si>
    <t>https://mega.nz/file/jUUhBaaA#jZTVXvS27BAgurbl2p_Ga3juL0P3iq5irUBPwzxLhmk</t>
  </si>
  <si>
    <t>https://mega.nz/file/WRsEWJTR#o0BWzd4J2c2O-rCEZta_mt76tUKyXVX5TGIRpBWBUdM</t>
  </si>
  <si>
    <t>https://mega.nz/file/OBFCmC5K#t6zJgzztwoU_rLNAJsbWSbeG0lXLq1TPhzCqav5mGiw</t>
  </si>
  <si>
    <t>https://mega.nz/file/6Edh3C7K#kyUTMAPL0ie1eBhSd_PNra8Mf5bnFL2YJQhtvHS2c-k</t>
  </si>
  <si>
    <t>https://mega.nz/file/LVsgnCCb#VuF2jY16_xOAiUFMRQS_Sm3fFnNqVbWq5aR5ReIftIw</t>
  </si>
  <si>
    <t>https://mega.nz/file/HUkQGBYA#0OyEHGVjtJbynifnnr0QAGgZUhPpU0oA_LGPKSwxW68</t>
  </si>
  <si>
    <t>https://mega.nz/file/vNNiSRJI#_-VwwzL2Jiela9CvmscU26WoiUyyZZNcAkZ79LCfx_Q</t>
  </si>
  <si>
    <t>https://mega.nz/file/jQNG1JpB#bOcTaH1oTJJvRCsyVHkQabeJlkNuAEmAm7ytUgCpQsQ</t>
  </si>
  <si>
    <t>https://mega.nz/file/PR8XxYAJ#aggnQwK1LLlvgupRwmu0Dcq9_04EkdBZzvaYJtkfSS4</t>
  </si>
  <si>
    <t>https://mega.nz/file/fNFERKLD#97XbVSMNksovbnaX2_uo53UtQNYEBikedgDUWPK32AI</t>
  </si>
  <si>
    <t>https://mega.nz/file/DY01kLqT#hXb4vI1vdKweJKEd3FCI_j_b9vZgsKrDdMSXQMjJ0HE</t>
  </si>
  <si>
    <t>https://mega.nz/file/bdc2xIoS#wsh6-IzCA6RrDU-0Sa-ljkIQjsnKAXQUo35PKzLshog</t>
  </si>
  <si>
    <t>https://mega.nz/file/KMEixTAC#I69q84fN1XMyWxH7nvOENFWnaUAcflwd8PFV2N3S-Tk</t>
  </si>
  <si>
    <t>https://mega.nz/file/DFFkDb5B#vzmstpLY1abhxsw2gJgXeYG1W7soVaTosJxx2ayqQRE</t>
  </si>
  <si>
    <t>https://mega.nz/file/GAsTkCBT#H0HAS1f0dDsqgQNwrid2xoqFIgJypY0t_6JKMqoe9ow</t>
  </si>
  <si>
    <t>https://mega.nz/file/6V8C2bCK#68TJ1yMy3IKrteGmJqOT8bsDW846xUH4qZa1-5UWA48</t>
  </si>
  <si>
    <t>https://mega.nz/file/WRsSDATR#40pysdLGc4iPxQFj14Sto7tyATCLmzosWVODgGuhWcs</t>
  </si>
  <si>
    <t>https://mega.nz/file/WEk0DahD#-8xY7iCJXFHm-8yHsh3GeCc7HAMX0XCr-zL8Uvg4L0Y</t>
  </si>
  <si>
    <t>https://mega.nz/file/mI8VlYZD#ZNAlzzk-nQRoKmyzqFqvEKqzw0zGLSrdO32wMbRNGJs</t>
  </si>
  <si>
    <t>https://mega.nz/file/HYkSQIYZ#8-4rHfxaqEn8wZEzEnHX3VaO8ozWAzedLIVWpS_Jn8U</t>
  </si>
  <si>
    <t>https://mega.nz/file/eVVWgLyQ#WaIMQt_iSuWuq4r_Cf_tEDBYE3HWWHZk6aja3mbcvtU</t>
  </si>
  <si>
    <t>https://mega.nz/file/TJk2xKjZ#e_O_fUOrC2VoK-9K1jjg8dCTp2mw3uF1shUIlOaRXsc</t>
  </si>
  <si>
    <t>https://mega.nz/file/XAUQGABa#y76lbAGthTj45Sz3NpeMsWWOb2-QsGzvx_68ExBrpNA</t>
  </si>
  <si>
    <t>https://mega.nz/file/aJVjQYhR#zFYFx-_164gwDvbtwIOsZS9TlGZO9N3KBSs1Ove5aeY</t>
  </si>
  <si>
    <t>https://mega.nz/file/TIlnFbaI#FQGgrvlg-DPhJtlF-EM40tEPebJORKs4JZqR97J0YAE</t>
  </si>
  <si>
    <t>https://mega.nz/file/3EEThIZK#79bVHp5b-ESj588UOa7yuImqus4nm06IdnZ2S0gk7pk</t>
  </si>
  <si>
    <t>https://mega.nz/file/rJNXWTDB#GIQlIW8Vda8nFvygAdxSQnlMyMxoEQELyfK0GgFAHt8</t>
  </si>
  <si>
    <t>https://mega.nz/file/aR0niKqJ#_gFdjTfBBuYUK5ZDkD2DTXuE4ZaW7RSi8voWjWG6hSw</t>
  </si>
  <si>
    <t>https://mega.nz/file/7Z1xQIyQ#ujm9k9v-hlxlaPDPQiZZIHQnsCx2bCjrrkRdc8Sy5Jw</t>
  </si>
  <si>
    <t>https://mega.nz/file/eBtEQaIQ#nprBOpqsQaa8FxIsD-zyd-AOUuo32dm3WZWpsFfSqQs</t>
  </si>
  <si>
    <t>https://mega.nz/file/vYMAHRwT#X8_v3fjexHUXAg1yGRWkAzVE2id9TOmaQv4FyJcACKw</t>
  </si>
  <si>
    <t>https://mega.nz/file/mE8D0Jia#wl9wLH5uXa6-kYzu9939uA2djlVfmWQThzJZLWc4LMw</t>
  </si>
  <si>
    <t>https://mega.nz/file/DQtnQKiC#Dx1IfbCyKshZAkbeJLktpQrXxYaWuyhIK_qBHcFEQKI</t>
  </si>
  <si>
    <t>https://mega.nz/file/7JNgEaAR#GSUJKVbo1hoC3asAGOiO04PuY3ujoZY806k9dU5BPv0</t>
  </si>
  <si>
    <t>https://mega.nz/file/SNEwVaQL#OtF7oZxW7wNLKt-3yRYDg4925fGIDxSV90u6OxP7EPM</t>
  </si>
  <si>
    <t>https://mega.nz/file/TEMQkBIY#h2jTILSLC1-gfmwfSU4uXGs2A6TWGdMC7It2LW63ty0</t>
  </si>
  <si>
    <t>https://mega.nz/file/SdcnnBQY#-f7aOhG-qa3hWLPsh8HJVZdXd4jIXaR2uVlcnjlTels</t>
  </si>
  <si>
    <t>https://mega.nz/file/vJtyQBgY#XcOXls0sl9cTf6iO59yh_RLLsEXPw0_AeUZx1wMJqg8</t>
  </si>
  <si>
    <t>https://mega.nz/file/PUs1lICY#h0H-hfVv2jYll_VKHkl1RkBZKQPVyPxypomEDse-qs4</t>
  </si>
  <si>
    <t>https://mega.nz/file/XM9S2ahB#re7FiwNN-kB3MjuwV5ITR6Ff9BIJ84__wcU30UL5bnM</t>
  </si>
  <si>
    <t>https://mega.nz/file/3YV10KgY#p9a6f8ChrFrAY-CZP5RAIDGNkz5iBhGnVPnQYRFr0E0</t>
  </si>
  <si>
    <t>https://mega.nz/file/uFsyDDSR#dKC0WjyCwV-ydt26kHcf6l73PQVOM3GrndXq16YglCc</t>
  </si>
  <si>
    <t>https://mega.nz/file/mMcjVKJJ#x7wQaJ1UzMquOz74QvOtW0PBsg2uJYG2f79x7jVBvRA</t>
  </si>
  <si>
    <t>https://mega.nz/file/TVtH0IYC#xEthRT5A9DTdaLIja-fqVmRVcowjMjrJQBrPhiR05QI</t>
  </si>
  <si>
    <t>https://mega.nz/file/bJ8xibja#tnqCjxXMCh7PKkTXQlo54EAoonBG1NaJev_0pGQYInk</t>
  </si>
  <si>
    <t>https://mega.nz/file/zQklVJyS#XvojvvBkMRT3BhFYb2uMVzbHuHjEY8mtlNkXEJ5bmGM</t>
  </si>
  <si>
    <t>https://mega.nz/file/bM0CTZLL#SsPgU8OUkwYUJf759OO4o-A4lEN3Clxt0RXM28BR70s</t>
  </si>
  <si>
    <t>https://mega.nz/file/ORUkhZRA#3CUlUTQGQiNR3V0JWQtiZWxxI4bOmkg2MPjF_4pZH6g</t>
  </si>
  <si>
    <t>https://mega.nz/file/rYMFwCZa#BgZNp45fwZZBZyq3iobaLoCUHxLsECpA2KM3BxbDQIo</t>
  </si>
  <si>
    <t>https://mega.nz/file/DMlgSKJa#spYumnDloqiiDLaaXwnG3I47UTj4s3DNnTEC4JcVmXI</t>
  </si>
  <si>
    <t>https://mega.nz/file/eINDXI6R#F_F4xKbSowQ3mnMRKj_f3keBTflC_Jj9o1dkNOYYMcI</t>
  </si>
  <si>
    <t>https://mega.nz/file/aRMwBSya#9SppM_QYx87P4O8jmzQmmDBzdqyHmh7E8o5CzHII86Y</t>
  </si>
  <si>
    <t>https://mega.nz/file/uYEHzAwa#tSJxdNGVKb100cUu0TaSt3K8HFQ2Zeg-7TP-h_m25TM</t>
  </si>
  <si>
    <t>https://mega.nz/file/aR8h3RAa#H2vUhdkBM_gJx1dy_wKedGU_jgg3SlNib53NFXZ-M4I</t>
  </si>
  <si>
    <t>https://mega.nz/file/jI9l1CiB#vpACf3nn_ucB-RYXcKh4S0g1ohR_2vJ9aneTSSlBxV0</t>
  </si>
  <si>
    <t>https://mega.nz/file/KJ0HRDxY#Roe8e1y3_Ns0To7huthl2g5fr6B2Vnmj9ZwqplYYh84</t>
  </si>
  <si>
    <t>https://mega.nz/file/bJ8RkbKY#gxffeYmxWLM1kz9yCfZf9IJxuRQ_V3cUq_ZJzQTfD0E</t>
  </si>
  <si>
    <t>https://mega.nz/file/yFcQgRSK#-99wDdSjbwivIuetePo5F7OTuZkePmQ-DBuIKPtaqhE</t>
  </si>
  <si>
    <t>https://mega.nz/file/fFUwGYbI#ErX7Pq0EYnj2eb69jmD7Feyz01VajWHoEeq8AVufcPQ</t>
  </si>
  <si>
    <t>https://mega.nz/file/aV0yTRzL#YP82GVTPIDTSGCIPIg6pP32QlNMPTxp5UhceKvygtOg</t>
  </si>
  <si>
    <t>https://mega.nz/file/eAsjhYyZ#_TTQUZzcJ3JvqtgprkZXmuGBY818hHEgj8Uc-VZhtwg</t>
  </si>
  <si>
    <t>https://mega.nz/file/PIlByagZ#9XjbzZvLx-J3930mUGVmRRd1CYlb2Fq2TRXQum-Nwtk</t>
  </si>
  <si>
    <t>https://mega.nz/file/nZU1zQyZ#bBFapfH8026_-VVbIyYs6PQ6xEnl8D2YH6jY653VyK4</t>
  </si>
  <si>
    <t>https://mega.nz/file/CcNlVDyA#ukios460G-jyGenCrtLM-BNg6xuJHvm281fkck94yEs</t>
  </si>
  <si>
    <t>https://mega.nz/file/PIlV1SgI#P5YtT34fO1hVkeTYLJ-YyuBOGFcEOAD171FWOIpynAU</t>
  </si>
  <si>
    <t>https://mega.nz/file/jck00ZSI#pu0p7FufMLueBZkXSvXvKF0qnxKtt04XP6va5Azraes</t>
  </si>
  <si>
    <t>https://mega.nz/file/mIEhFS6L#6tNw5OGWRQaY12Ji5-VKdSbO_gb448Kz6bC2tjg0lrU</t>
  </si>
  <si>
    <t>https://mega.nz/file/jEtSjBCJ#jOr5Yi0ksAK6VFqQO95SSLzQKuB18THYbmZUz6ktbmA</t>
  </si>
  <si>
    <t>https://mega.nz/file/iMs3WQLQ#AsnXJaZxr4Ww-NNYPqM9jq5bB_gHqj5-68qnKWRjuSI</t>
  </si>
  <si>
    <t>https://mega.nz/file/WUUSxJ5I#D0STnkO_tTa1XWmitV9XPxevFIJSYZ1ecgC4vE2enok</t>
  </si>
  <si>
    <t>https://mega.nz/file/LNEwBTrA#-JRm7D603EqUU5meCkmkXrO9B-wbohcDpXl0bANfWQM</t>
  </si>
  <si>
    <t>https://mega.nz/file/DR0gGLZC#Ku79TJqADVSzlhZtInx1BK3HFm7Ys8OceNoVxZ_xycw</t>
  </si>
  <si>
    <t>https://mega.nz/file/CJtHBAIZ#NrLtOHK37jeD2XZj6C3A-YgvQJHqjcYaUINFhmZKNgE</t>
  </si>
  <si>
    <t>https://mega.nz/file/bMdTnbpJ#AaJ9FDn7clZBe7tQkXVnxL-Y60Xd5MstkZdGEki9kXo</t>
  </si>
  <si>
    <t>https://mega.nz/file/WVknnDbB#fdjKeGPRjWsuUajAtUkXC-CLY9kpHahyJZDIOHU8bnc</t>
  </si>
  <si>
    <t>https://mega.nz/file/LA922IxR#ZVoQq-MNauykzOKyDA0dM4ZMJo_gxtWp1wkWJZVW4-Y</t>
  </si>
  <si>
    <t>https://mega.nz/file/WBsAkSyZ#-tJtR7pMD7b__dg8D2xmkb81uD9PtI396HgcWVHZBgw</t>
  </si>
  <si>
    <t>https://mega.nz/file/XV9GWK5A#vqqRHKUBo89lIOETNKthH_F5QcW_NuaGVkKwGmCRrMU</t>
  </si>
  <si>
    <t>https://mega.nz/file/jRdAWB6L#adxYxWYbwtBcEkhPXe0JvlHUPkf6Zf6r13nQprTTrDk</t>
  </si>
  <si>
    <t>https://mega.nz/file/zd0SSTpI#9DxlmLQ7RlfrIgCKCB35KqJT0ack3mkreQEKv6621Xc</t>
  </si>
  <si>
    <t>https://mega.nz/file/HAtiTQZR#LcceQbiFHUlIyY3g3BYr4C9w-fCMRQGQbTEpRJygmMQ</t>
  </si>
  <si>
    <t>https://mega.nz/file/zR1SlJbZ#jSrsG5nQGHeSrsiJCEEcLXFmZZRM-hIakD6mfzLa7YQ</t>
  </si>
  <si>
    <t>https://mega.nz/file/CNd2QIwC#t-sg_xh9WqVmLZQhR4sJCqof44riczdtCTN_Y7GF824</t>
  </si>
  <si>
    <t>https://mega.nz/file/mU02hDgZ#As_ihqJNbRA_YMGeaA9yWR6xRljJ0pCyUYgpVV9q5w4</t>
  </si>
  <si>
    <t>https://mega.nz/file/Od0mQISQ#Nu29uiycuHcBjglXSc97wmBZLGgOb5o35cEdbGS6ZG0</t>
  </si>
  <si>
    <t>https://mega.nz/file/DMMwRYJS#FrGLtRKjRULQo6MlS0g3_XbQHfaI2DBqyRUng9ArUrw</t>
  </si>
  <si>
    <t>https://mega.nz/file/2ZU3lbDa#4o0-2mkHR8d0HX1XeUKdKH7XYV4q_BsKM6KSRyxVNRo</t>
  </si>
  <si>
    <t>https://mega.nz/file/3NEAiK4R#sK2-q9qHi4YlNaIHvpEjM44G-90hH2CeF0DebffQmO8</t>
  </si>
  <si>
    <t>https://mega.nz/file/nBtSFKqQ#rA_2v26dlMkSQ4wuT9se3ygd6z0PkRO4EAHkRwc1gpk</t>
  </si>
  <si>
    <t>https://mega.nz/file/XF9wCA4R#PMR_TMQSdg4fFkO3sev1W2DsCp1qZJnz51Y0Nu1Ltbc</t>
  </si>
  <si>
    <t>https://mega.nz/file/KcMm0IIJ#kjP9IQctXWJZGnQT_eAm0MZZlBRCh2eMfKA03JgQWBg</t>
  </si>
  <si>
    <t>https://mega.nz/file/6YlQDYwC#mh7mVrY2usg8DYnBzMQ9nfsaIxdnnCwKEVe9bdRJBGc</t>
  </si>
  <si>
    <t>https://mega.nz/file/uZVRxaaK#F7QEW_f5q9LoSYIZTxvzDLAfKV_nyK9r5IhA37VC11Q</t>
  </si>
  <si>
    <t>https://mega.nz/file/OR1HnSAQ#PB5saoOj9epQLM-_-EuJTkEyrCuWXH5_X_6vOfZPJZ4</t>
  </si>
  <si>
    <t>https://mega.nz/file/bcEQFIzD#nJZC86QK-FHQ1_hLWk6JvJnMg3NkKDR_eOUM9xsI5dE</t>
  </si>
  <si>
    <t>https://mega.nz/file/yV9SwZaL#ERRGsyV6CB-R02vl5dXZ0YNO2CFoLd4H4z9KymPaBpg</t>
  </si>
  <si>
    <t>https://mega.nz/file/mM1lBKwC#AisQCgTYm5OzuMYWq05REbfhDcMjIvIUqN7lnceHXDw</t>
  </si>
  <si>
    <t>https://mega.nz/file/PFVXQRpL#ISTSVxZ_zohXLVQQ_yjew83ugfpmqpSmGo0GI0FdLDE</t>
  </si>
  <si>
    <t>https://mega.nz/file/PU0xVYrY#IoHUYCCmTE3EPPmhHUi8Sw4VJpSJ-fAoSRnsHXO1bHw</t>
  </si>
  <si>
    <t>https://mega.nz/file/zUcABYCQ#vnTaGXiw4x0DNbwhNS1Jt46lvsX2oTxTfSjPhZlT0Fc</t>
  </si>
  <si>
    <t>https://mega.nz/file/SI8EGYLS#PwwCae6NtPVdE0Wpcdu8WfnXiBMqXHFQWgolsSLbIw0</t>
  </si>
  <si>
    <t>https://mega.nz/file/nBchHbjb#GpRrMg96iP2O0uMFH8ngojwK2gmf28s62yz8EUCZi2o</t>
  </si>
  <si>
    <t>https://mega.nz/file/KBcWFD7R#OBbakop85jJOVVchxRT_f2Nf9n9qj317e98qaL9zQBw</t>
  </si>
  <si>
    <t>https://mega.nz/file/fM9U2DAa#rmUKNwlXYs61CaqQ1zm22RYUSRkPi4Eo0Yfol8C-eys</t>
  </si>
  <si>
    <t>https://mega.nz/file/fJ11TBII#ZUlowzYdG7xZ3CVHoruU6v6ZP8G8KCNEp1m1WsRrJGo</t>
  </si>
  <si>
    <t>https://mega.nz/file/7ENw0QKA#dPPTOIMOqNAqcrFp4WKp7jVur7FNgOg0bjDa7tO8JXU</t>
  </si>
  <si>
    <t>https://mega.nz/file/mQV10RwA#y_xB6AjsZO5NInoDVckaqHHQkJABNnF9bgdFiz-8yVc</t>
  </si>
  <si>
    <t>https://mega.nz/file/CIVFRIjS#Od26zuJgQVSl-DQ4AicNYdyewDGg9rID0YXw-cx1KQ4</t>
  </si>
  <si>
    <t>https://mega.nz/file/HAtgAbDD#z4jzB_seMGe6EoMqgRUxAhwfZquYrUdY755gVJVa7wA</t>
  </si>
  <si>
    <t>https://mega.nz/file/WUEWVR6R#1StVScFh5wPQ93WBpYhKpWALYcJAr1g5W0cxBe5xW80</t>
  </si>
  <si>
    <t>https://mega.nz/file/LdUgHDqC#RG9RSv18ny37a3Jp4gwbW4qK5Au2Oh9vbSyB9Ain2mQ</t>
  </si>
  <si>
    <t>https://mega.nz/file/mMNjUSLa#i3eAIgU_mndM3hVMTEbReTiJAxNdBQahICchrZUS8a4</t>
  </si>
  <si>
    <t>https://mega.nz/file/fYFDTSKZ#cUO8c9gmEUC8Gx9TaQ_1toFluVOFkDCpghKUomPvzOA</t>
  </si>
  <si>
    <t>https://mega.nz/file/OBsxzYpQ#4JA8GFLe7ZgmigLExK0xtzwSnx92FM5xhyzrQVK5GwQ</t>
  </si>
  <si>
    <t>https://mega.nz/file/CNNjiISA#fpfl1clKBAXwg_hqXaCEJN1Q7E5K80ZQC4Y_GgNKlZg</t>
  </si>
  <si>
    <t>https://mega.nz/file/GI8DBTzQ#2HlQSO-QVSFU3SxK62CpaFdx-svuNvtohtv67lxiitk</t>
  </si>
  <si>
    <t>https://mega.nz/file/DNt1SIpB#FLUrzAAiNwWl1sPxBFkdSHz1d7naRIa9TviJ-fdn8j4</t>
  </si>
  <si>
    <t>https://mega.nz/file/aRVjgCzA#bUEw5t_i1l-33-Tg0PZLpzYGyZjlxVEzhz4bpOmTRN4</t>
  </si>
  <si>
    <t>https://mega.nz/file/XA0AxRDK#REpzrm4I_mRNUmjrG6Fs54MyTK65_P7vNwHAtlm83fU</t>
  </si>
  <si>
    <t>https://mega.nz/file/mBNkSDLD#UamiiC_ATokCbDq64hd_gVFbP9_LC9JbkzyK7AkhuIs</t>
  </si>
  <si>
    <t>https://mega.nz/file/OZsCEDoA#uMvHXH8fGOq_L7o26iEvX9gPnGuYytIsJsqdwf_a93s</t>
  </si>
  <si>
    <t>https://mega.nz/file/DU03ABiB#_o1dafz73gQyas41cBrZrOZWzMv0d3p6PlLpdGaKn0Q</t>
  </si>
  <si>
    <t>https://mega.nz/file/fQNBAJLR#MYxRkl7cJNqHu-VyWfBTA9zrRem-pwo9911-pEh0Kos</t>
  </si>
  <si>
    <t>https://mega.nz/file/TJ9QAKJK#YJ8BMafeV4bgotxxDZC9Y9Pd1ETfZJm3-5Uklt16HTE</t>
  </si>
  <si>
    <t>https://mega.nz/file/CdlnkDgJ#yKp1ieo7Qi2TLUuLZCux2nd1ACCSopVgCNBfmjD4eE8</t>
  </si>
  <si>
    <t>https://mega.nz/file/eQk3jaQb#4_6jYgr0wCg6aMaDVkrb-PAITd1WxPGx47ueVAbx540</t>
  </si>
  <si>
    <t>https://mega.nz/file/nB0QxCZB#skyu8bqc701sq0G3X1p8x3izbLO0hWP8PWpXLIvAOOY</t>
  </si>
  <si>
    <t>https://mega.nz/file/7V9yWKjI#JouT1Ta3vQCn7tHZn4KDjsRUaxJhAwoItgd0j4eu-JM</t>
  </si>
  <si>
    <t>https://mega.nz/file/TJ8yiDiT#yNEY27yFroSc5X1mSTOzVtjEI6Ur9NcBwu4ct26bJNo</t>
  </si>
  <si>
    <t>https://mega.nz/file/TN9C1JSZ#-yTn12hv53ZHI3h2h4OJkE_I5chPu5NIDL7YenGTQO0</t>
  </si>
  <si>
    <t>https://mega.nz/file/aJU2gIyZ#KYjXEZSlYhR768P6HRwLSojJlimwFGbzUEAc1YVNohc</t>
  </si>
  <si>
    <t>https://mega.nz/file/rJ9klBJS#eGSPf1fDOeD-Cy5c_6L1gQyczKI9nwDGTihp_4wvgB4</t>
  </si>
  <si>
    <t>https://mega.nz/file/Kc9iECKC#TABjUYyxkzh7mulxlrBALlIfthqXEGB_iioMz2cDH9A</t>
  </si>
  <si>
    <t>https://mega.nz/file/idMQ3QbZ#2yiNVKnGlqAczTatxZW-rNB_8SyNJIMS_Y09Ron7siM</t>
  </si>
  <si>
    <t>https://mega.nz/file/XNckha7J#vsXABFCJmInwgls0xoohpisu5IPBbpqwsl2vITkYMOs</t>
  </si>
  <si>
    <t>https://mega.nz/file/bMlikK4Z#yJqQABraFidwnSkFNXJ6UvM5hPh_NR4ffwenzJk7eGs</t>
  </si>
  <si>
    <t>https://mega.nz/file/2R0BQDxQ#NklK1zbRoIdT5aZHODwamwqogXaOsYnXESVlKVxnP1g</t>
  </si>
  <si>
    <t>https://mega.nz/file/TJ1nFTpY#gwitJ3Dgj3oWvzbGQG9ru1umph_6T-YWmByOa5Inq7w</t>
  </si>
  <si>
    <t>https://mega.nz/file/fF0DDJ7C#AuUkvCtmdfLDIt0ww2Nof-IJiuLBbT5khEJBxCMVr0U</t>
  </si>
  <si>
    <t>https://mega.nz/file/nAcXXYII#40WmA_La3niOmYP_HfudF4sYglhF2_MS9qSftsddTv8</t>
  </si>
  <si>
    <t>https://mega.nz/file/TNVhUKjL#hodfHTWeX4hJ1QDk7JjQ6kHq0UhEYwKUDi-lErkTJxs</t>
  </si>
  <si>
    <t>https://mega.nz/file/SF0xgQ5K#pnpTVjtZkWQHjbjF8QAKTJX_lDTLVTXVjwOjL6jf59A</t>
  </si>
  <si>
    <t>https://mega.nz/file/SZVFCbqC#2gPzDJ9RPR6wfKIzn2I16nxaNnX1rFBaCSOdKKA8fD0</t>
  </si>
  <si>
    <t>https://mega.nz/file/yIcH0DTZ#RU6ADt6O_ye5fAkgKBsTFY_nrCBSjMz-mYJ7QB-1q_I</t>
  </si>
  <si>
    <t>https://mega.nz/file/OdF0VTrB#pLv79AluP4JoS-H00N6ExUXt6sI7yj6DxC8Mcj2tqrI</t>
  </si>
  <si>
    <t>https://mega.nz/file/jMEGyYIL#cRsS6iP6G-RyZzf4Ejvmf86Tu2K3Rr_wmKpH7QPnJF0</t>
  </si>
  <si>
    <t>https://mega.nz/file/eJk2yZBS#q8GejPwkgU_sErMlOpiXBn7OpRyA3Gxrzwmnul-WRC4</t>
  </si>
  <si>
    <t>https://mega.nz/file/7JE2jTbQ#9zbC83Nk9JM-mWAUfmC9gAMNfvqyH5FEcwxTuh81DPQ</t>
  </si>
  <si>
    <t>https://mega.nz/file/KcM2yI7Z#DsOwAC6r-i3-U4d4YkjxMiPmKSCgKUI8R7iJj1IvDCc</t>
  </si>
  <si>
    <t>https://mega.nz/file/ucFUGY7C#E_dOBiilSg5-i7s6pDNhY8kOjF4bHGhU_HAFnJy4rtk</t>
  </si>
  <si>
    <t>https://mega.nz/file/eA8zWaJZ#2CW2Ito-ECTvAlw-Z9U_TMRhRSkMRT57C65UO6KgXoo</t>
  </si>
  <si>
    <t>https://mega.nz/file/iE9RXD5L#cwL5KIFKpSXZSpsjMKMl8Ds9OxqqEhJw9nU7IW0GN6M</t>
  </si>
  <si>
    <t>https://mega.nz/file/3QN13aJS#pJHaeWDZYVhI5qHlukQyprtN8uklxLTyCQT42ljYHD8</t>
  </si>
  <si>
    <t>https://mega.nz/file/bI8R1Rra#qsj6HMlOqliLYqOWOGnOBW8npg4HY7yMy9BSVU_Y8KU</t>
  </si>
  <si>
    <t>https://mega.nz/file/3VUySRiJ#rddazEdDKkzSzBd_pFJWMwNrHec17g0zIoqYdKjR5LY</t>
  </si>
  <si>
    <t>https://mega.nz/file/yEFE3RwD#2Ppn-OKOTnU5j604g9aUgiRd_6eI-NFE7qFTTvf_RNg</t>
  </si>
  <si>
    <t>https://mega.nz/file/zU9jgT6B#TOxaeo7HCnpiwyMwsSHRD0bvkSowCmdJ0ethB71v80U</t>
  </si>
  <si>
    <t>https://mega.nz/file/7YdRATaQ#vho7-pKYJH1ftR7XXHbBCcqbfET4kxZ-dcDCMyF7SHg</t>
  </si>
  <si>
    <t>https://mega.nz/file/vd9wiR5J#NgCrK_6lcud3RrwC_NqlGGv0Ylzw_3d2OfZoeeHZs1c</t>
  </si>
  <si>
    <t>https://mega.nz/file/3NE32b4Y#dS-kxvL6Vy5cqQL62Z3bbpcLgwm-i2-L19co6s90FAo</t>
  </si>
  <si>
    <t>https://mega.nz/file/vN9kmCib#T-xhDPFY_a7Mx16BpdOCSHJkqEkZo5uPmMylvgiUCHE</t>
  </si>
  <si>
    <t>https://mega.nz/file/bVdhEQTZ#Su4MRxiwjbvnscTuo-Jw9J-NMM8Imng_OxiaRNbpHKo</t>
  </si>
  <si>
    <t>https://mega.nz/file/bFUg0bYZ#Zs-SR8UZ3fTar9eQR_y9mBb7-_B1VwkVMK9kjGT-cbc</t>
  </si>
  <si>
    <t>https://mega.nz/file/OVlWhBbJ#5rJPvf2uc9CUoXwM9qVIlzT_cuvN4GMtpF0jwMtFt08</t>
  </si>
  <si>
    <t>https://mega.nz/file/KUVHlCRR#ijxMYjXlm__N98zcwfatI4e_tYwIkGK0n2571DXLE2o</t>
  </si>
  <si>
    <t>https://mega.nz/file/mRcGgCbA#kMrvXGm39Hzu5YQ3PKhVt6ALh-dJii_sM0zzDkEhrhg</t>
  </si>
  <si>
    <t>https://mega.nz/file/yIl12DhJ#4bkTjwrT3-Er6pgWWlD475srYVOnXm6WrSKMgpc-kw0</t>
  </si>
  <si>
    <t>https://mega.nz/file/iJsTEI5b#7skHs5pMBa1CQGFnh0m4jJIbzNP-UO8XHhDsaGsCeQI</t>
  </si>
  <si>
    <t>https://mega.nz/file/GU9QHSJB#a4C1slTWr7-_94eUDbNYgj1r3JnqBoE1-tgmpJnkur4</t>
  </si>
  <si>
    <t>https://mega.nz/file/WNljFCoY#CNXPCbbIwh33kGkX6iPEQ6BWlPLU-rZyNlErjgG9jQg</t>
  </si>
  <si>
    <t>https://mega.nz/file/eBU1nTRS#5tQsmh7NYZVUo-mvgCnfVao-vBuSjb7LafkGViD2zWk</t>
  </si>
  <si>
    <t>https://mega.nz/file/HF8y1YQZ#y13KgF35L5OmDk-xIjk1Cu3AghABALBy6zPPtKgDC7U</t>
  </si>
  <si>
    <t>https://mega.nz/file/zFsjAZQK#RrWkRVN8byv9ElvPvgAgeCPDSjwB5O8k1tQz90sn3Xw</t>
  </si>
  <si>
    <t>https://mega.nz/file/7ZcUwRIY#rJ39rz-96d5mcIX5oyaWayIKxAo36LTf4IoGtB0qePo</t>
  </si>
  <si>
    <t>https://mega.nz/file/GEtUFbKb#JnVHQtu8nlc1H5k6K6r0lTn2KgdZ3M8qzaWlTpPj4kU</t>
  </si>
  <si>
    <t>https://mega.nz/file/CcUBQaaL#vGEGQt4PkPKKQcZk5BcRHhQbLzpJ09AKNqKCfVDCFl0</t>
  </si>
  <si>
    <t>https://mega.nz/file/yAFEmLZC#5ekRHjLhk9dG-HYWydJbKyC-Z6tVrQHlOb1h-uJqots</t>
  </si>
  <si>
    <t>https://mega.nz/file/fBURmRaQ#ar8h5rm_u8m8cBuV_g8vphtrY2EsnVcRsJZq8fozz4Y</t>
  </si>
  <si>
    <t>https://mega.nz/file/mFl02YSa#BEr4CmVf73NUrPu7FgwwtEzY1m9b9duQzH1G8sGDylo</t>
  </si>
  <si>
    <t>https://mega.nz/file/PJcBgJrY#gUb15F370wU_4PSOBFnAzaFQ9dKEsh3LmnU1aaxEZBU</t>
  </si>
  <si>
    <t>https://mega.nz/file/DF92EQSa#3LI7HmRTjusIlGB7kIo88R1lihn3CrOgVb1E2sgyMxM</t>
  </si>
  <si>
    <t>https://mega.nz/file/ec9liABS#r9EbTySQfu7G37KsoM3x4Kyu-ifd8BAZRd09P3j0DqY</t>
  </si>
  <si>
    <t>https://mega.nz/file/nYchkIzK#zSOYKlihsn5CnnfFppsCBeUogIXSLZ3SfI9Ksn2pBco</t>
  </si>
  <si>
    <t>https://mega.nz/file/OcUjzBAR#ZmBepR5eMmm9t0Kz-Ls2JVhAT7SjkSc74ADDaRYZLtg</t>
  </si>
  <si>
    <t>https://mega.nz/file/TRMnTDyB#8RQaa1eIrBD320l0GiQig5CI_pR1nRrlvep7WfMl8SU</t>
  </si>
  <si>
    <t>https://mega.nz/file/WZ02zaQR#_QPyxkTCD2vbd6eTX5p1WPO12XlevCWYpKm2vCOR_-g</t>
  </si>
  <si>
    <t>https://mega.nz/file/SJdnxSqI#qJzkJzWNp8LPw8UyuV8cI6WGTLgBF6tr4A0wVqVIgA4</t>
  </si>
  <si>
    <t>https://mega.nz/file/eI0GWARK#I2xqPzoz3DxqXv4DVZmRY5ELaKlpQpcqQIV1HnmOC7I</t>
  </si>
  <si>
    <t>https://mega.nz/file/id1jVYzK#FUHxNzX9nBHxGd7UiKsyBmY7_y2Uk2vaAJvcdqVnnuI</t>
  </si>
  <si>
    <t>https://mega.nz/file/yAsVWKjR#upLSEtMAo9nk5xw7zUltWg1bqs2yE2syLiqZKu4XAeA</t>
  </si>
  <si>
    <t>https://mega.nz/file/qYlCAbIK#MQFTLKCc9Zswg5FpaWe6kCpGUkjEOix8iuzAJe-iXZI</t>
  </si>
  <si>
    <t>https://mega.nz/file/LA1DAK7Q#9Vw2IptvQ9KQjT2VzZsKJEH6jdZaDX4h2kAwI0ryQ1g</t>
  </si>
  <si>
    <t>https://mega.nz/file/mYtlgbKS#fe05SOkBKOXRy3dpbRaWCbcqpLlzQfMXYfJ-8_UAtbs</t>
  </si>
  <si>
    <t>https://mega.nz/file/WZU3ybZJ#zSrp9L2S21a3YUZmWbFOI3g7rHsksnY-sfCX0stSbuw</t>
  </si>
  <si>
    <t>https://mega.nz/file/fEUSQY7b#NjtAoVcBDg5qts2rZRv0Llb1KMcN-pCzf9KnAKbb2L8</t>
  </si>
  <si>
    <t>https://mega.nz/file/rM1wFBxB#_QiKUtIJeJ_XXFQWEPKsxf_2ESyEVvuEj2G3rvoI4rE</t>
  </si>
  <si>
    <t>https://mega.nz/file/nNNzUQZD#F0_zmnv57fpaiAB-RFLwE2VoIcw0rAnZ5pSbdGiJgl0</t>
  </si>
  <si>
    <t>https://mega.nz/file/bJ8j1ZTT#b-fuVm04eTFNLWPalCjsmB4jhIxX95LrQoViENw5NhI</t>
  </si>
  <si>
    <t>https://mega.nz/file/CYcy3Aha#a28Ysi7gDLDPxCCvX8tscD9uBacjw1gHz-7VIHrXUno</t>
  </si>
  <si>
    <t>https://mega.nz/file/2RMEnLiK#gA3QLT2Abuz5YykwOLphQKzCX-O-wtOcvbvAN8h0H-w</t>
  </si>
  <si>
    <t>https://mega.nz/file/nV0QkB7A#zNqavVqWcjJ5h5mnqnkoG9OOB6m4mKDHRrHoy1UUzEc</t>
  </si>
  <si>
    <t>https://mega.nz/file/7Z0zUAzC#qf6CsCiT-Tz4uFhe9_FITYyHY4ApPee5zGPEy5Zau4Y</t>
  </si>
  <si>
    <t>https://mega.nz/file/3Z0TASgA#pri5VzJ_419f2ORi3rhp_hQVfBkrzQIK9U5y4FQhRaY</t>
  </si>
  <si>
    <t>https://mega.nz/file/ndER2IpJ#kYdv0FuhhXslqWdaXRPBeKE_tpMVedoXssQp_Y5Spr8</t>
  </si>
  <si>
    <t>https://mega.nz/file/qAFSxRBT#P5wxntmq9mHyhyKExdvBleaIEBLhFmKg8dHeK3N_EiU</t>
  </si>
  <si>
    <t>https://mega.nz/file/LZ9HkI4R#9N_KZp1uX-_VCIQ7xfN4KxRELR2W5-9xRF9YhZZJZE0</t>
  </si>
  <si>
    <t>https://mega.nz/file/SIUnHTxI#ex14pdHfFv2DvzbBmmJGa9Omb2cFsSdE3HUuLFZiJps</t>
  </si>
  <si>
    <t>https://mega.nz/file/DdsVXZLL#n3vXNUNHwXUW4DHR38q7WGRcaZ8xQJvAL7UCSy7FJTA</t>
  </si>
  <si>
    <t>https://mega.nz/file/iMs0gJIT#WFYIzvOmEdrL8OjNVKz9-CI9YcXJtombwEwf7wK05sg</t>
  </si>
  <si>
    <t>https://mega.nz/file/3E1zWA5J#Fw3d0NapWwW0AV_x14-RpKKEXJ2vmJzTGalxieRsFtU</t>
  </si>
  <si>
    <t>https://mega.nz/file/3J13yB4D#UwS4D5CNznVh4qOCbprzHNI9gBuUqL0-DmhQbDo5p5U</t>
  </si>
  <si>
    <t>https://mega.nz/file/fJFCHJDQ#BQAw3q6QsFHjCLeU0RklqgXSXZZdEgPx9rD_qM5cp3E</t>
  </si>
  <si>
    <t>https://mega.nz/file/Dck1ULYa#vK9b6x65x7emIY4DSA3azjeKcuG226ojHk2UDv3zgvM</t>
  </si>
  <si>
    <t>https://mega.nz/file/LAUVCRSJ#6EUBHcYJ6MoXBSQLY8hn1rNyDQf4RB-RiPeG0GoLj1U</t>
  </si>
  <si>
    <t>https://mega.nz/file/yJNDHZjI#4K1jxMW-vFLrgFj1HKUKuVYQ_e-4dmXfYmeW083NvwA</t>
  </si>
  <si>
    <t>https://mega.nz/file/fA8xEKJC#V1dP2G0a9sm6XSoYwFBpNqFn0G1cxIv1f06Vewv9BoM</t>
  </si>
  <si>
    <t>https://mega.nz/file/ncFCnDjb#FmOsLvvzv9P9LXpGmdNsDMhVUxPsZSGz-9WWW9oGHXY</t>
  </si>
  <si>
    <t>https://mega.nz/file/zI8nnSpQ#oJ0k3k-D5R0TkWDSikDJvuOAxVIW1b8alEIXnkn9gkA</t>
  </si>
  <si>
    <t>https://mega.nz/file/fU8DWCyC#i3BfzYAutacrFaL_iKETBNLmjPV33Kqp8Iv4Bu4kl-k</t>
  </si>
  <si>
    <t>https://mega.nz/file/aF8FWSjB#-iMMLPlYCw9I1vmo7MfL-XQGgoslQ9WQO2DNNhn6zq8</t>
  </si>
  <si>
    <t>https://mega.nz/file/XAtATLzJ#AlIpypTJ9aMHtDd4rdAB1Wm7Qkv83CCojAa4SHsyu7Y</t>
  </si>
  <si>
    <t>https://mega.nz/file/KYNl1Dxa#H45pEQgaPAt7kZy5SV3AKMpny_tp7LWKaaipCDPOqUQ</t>
  </si>
  <si>
    <t>https://mega.nz/file/vc9hEIJa#QbFgFEX9Q5tyUOfSxk7cjxrTWTAhnPz71cZOISAdjBQ</t>
  </si>
  <si>
    <t>https://mega.nz/file/Ld9AWbQL#lnmm5oux9er_6cuqEyF0F5XsfJR7-XXZIGMGHqHI818</t>
  </si>
  <si>
    <t>https://mega.nz/file/DJcF0LTR#wAymv8jzJ0IolsS9v0-iWxcDKfgI102Q__YpJj4XkXI</t>
  </si>
  <si>
    <t>https://mega.nz/file/CNsC3boL#ji-BnXSVLGNNpk1e_kTDvo7ue5mxD3DbrpC-zrHfHMY</t>
  </si>
  <si>
    <t>https://mega.nz/file/fAVDyTqC#dRjx_MdOUYkYJOPUhg0tl0uVwrZkQe2-ObXlEyOr-r8</t>
  </si>
  <si>
    <t>https://mega.nz/file/6Vs0RDIY#KtO_OYpAK7j-MITDNDCv3p5qvXHxBwPMwoZctiwoY84</t>
  </si>
  <si>
    <t>https://mega.nz/file/3YVkSSyZ#ZPMIQAuMr5TBzYz0Y2bHgMV4fjr3vTjenjFzn8SE5RA</t>
  </si>
  <si>
    <t>https://mega.nz/file/qQklWbKR#HpJcrxk17pH8Ex4GfExyQiXfkTqV0ku57AnRUIHlJ1A</t>
  </si>
  <si>
    <t>https://mega.nz/file/bJ9WFS4Z#D7Q62mz7HJbAGzhqWuM_GUoJ0SBvJw8jKoqskci5cXo</t>
  </si>
  <si>
    <t>https://mega.nz/file/uQt3HZJY#hUqc7dF2NqJmCoa-a49W0AwVFgpHagNpu6KzZaP4Fiw</t>
  </si>
  <si>
    <t>https://mega.nz/file/OYVDWQyK#yhopSVC7uBkEvLF5H8oShSZqgdkCyBcIN_7u4RPOsv0</t>
  </si>
  <si>
    <t>https://mega.nz/file/vZdRQKJa#i8ABw4GZ-Ta83tatDxYX8jN6r-7kfDeFWS3STmku_KA</t>
  </si>
  <si>
    <t>https://mega.nz/file/SRUW1TYD#fA_p0zX49K6eKUkbfCi3MsgzyDCCJeO5n_IHENh71DU</t>
  </si>
  <si>
    <t>https://mega.nz/file/WBskDKrK#annWPwghu58adZed2HhTJC0TWsNU3QiH1a0khzgqxmg</t>
  </si>
  <si>
    <t>https://mega.nz/file/fd1VTJZL#N1pz5Wx0XVMg6hFFgHp1KyYlDW3ZTZxgAtV4_gDO-xo</t>
  </si>
  <si>
    <t>https://mega.nz/file/bYthzIbC#F1b4-yxPfX3ptSj8jxxff0mCxbXmA-OJaA7zok69LwU</t>
  </si>
  <si>
    <t>https://mega.nz/file/KA1kETAT#nCT3vsG4ez3lZkuDslRku6fwyuZkhCrH3iUrfkHuIM0</t>
  </si>
  <si>
    <t>https://mega.nz/file/eRUxhSiD#jUuNkBKxOFbmjqUHxUzkcI4In6CB8mkkaBvs9vUq5RM</t>
  </si>
  <si>
    <t>https://mega.nz/file/yJNkjLbQ#Js_slJejs5BP0Jij6eo1pN-xriGCyPqESHxkKWyYzhU</t>
  </si>
  <si>
    <t>https://mega.nz/file/GIF22IKT#JGE_HAFH8m_APfvDl4JLYKdEwdlYQ-TrQeF2g4kDCp0</t>
  </si>
  <si>
    <t>https://mega.nz/file/rJ8XgIII#nTPpA5gD0Urn2xChNcIxvYFzD6qFTuxkCPD98iNYnZU</t>
  </si>
  <si>
    <t>https://mega.nz/file/qYNiXaqQ#5wVfGM_RzaHqO3LCDkJrpH4GtAmCOS3YW6T5CYNQGQ4</t>
  </si>
  <si>
    <t>https://mega.nz/file/GNEVQJCQ#NbNhughclvamawtAnutsuwSkSB7GMvrTq8fA1sPGH2s</t>
  </si>
  <si>
    <t>https://mega.nz/file/eFkGCJyb#w71YPHhMh46cF2hYxlXoYit0Mnf79eXpcEphXInhUNQ</t>
  </si>
  <si>
    <t>https://mega.nz/file/DNs2VKjJ#v7d6qt5UWXrYt40txNP-Io7uXKT4mflsEHsIwj4aUvg</t>
  </si>
  <si>
    <t>https://mega.nz/file/aJl3WKja#yHCuPf1ipRS8sCQnSE02aqtOr88_B3TId4oXW3mmNfw</t>
  </si>
  <si>
    <t>https://mega.nz/file/2J0i0QrY#ktqugVAnw7w9SsW__yMpQ5YkGOaYHMSpK1fKmamSsHk</t>
  </si>
  <si>
    <t>https://mega.nz/file/DYF3QSia#VErvs63eCjt5e_23edIapxdsnHhgmu96eUWz4N9CtlA</t>
  </si>
  <si>
    <t>https://mega.nz/file/XEkyxbxa#TtubwZ4etZJu1RAswt9HGFqNrKKbYykRtRdyKWIcN6k</t>
  </si>
  <si>
    <t>https://mega.nz/file/HYlykSjC#iyJn7CUgRkA2Y9Fc_yUfGUAP0E1LhzykjTiZI2Tk6Ts</t>
  </si>
  <si>
    <t>https://mega.nz/file/2EE3FS4Q#r8AtB4qxIJI6ZpjBOxIrbWLr6E5-Dn2DoSA0NiiNbSE</t>
  </si>
  <si>
    <t>https://mega.nz/file/eVlzGRxI#18QVHuiuz-cJpHZoZcgqNjIX-Zkgm-RRaM1glLgSnpw</t>
  </si>
  <si>
    <t>https://mega.nz/file/vIcQXZ5b#3NMePVy9PqMqhmV9QCziorTOHKrh6kKOIkocQV3A0Jk</t>
  </si>
  <si>
    <t>https://mega.nz/file/7I80kDJT#gJs9wi3JOQaMh9CKXr8NJ-gO77HbUjjCQjD21SBTVys</t>
  </si>
  <si>
    <t>https://mega.nz/file/OMF0hbwJ#AaoMHD8eu_ig4PBo1vzuYMZz4W3Dy17z4xVqQCBuAPk</t>
  </si>
  <si>
    <t>https://mega.nz/file/iNMAWaDJ#B5N_bnVdVFkHVx9nCp5ABwp10I8FYX2mf4MfeM-WrTY</t>
  </si>
  <si>
    <t>https://mega.nz/file/uVtlUTAR#QoypIZi4sat6b-wA_UvNYdViphGWb78CNNidxU_aOZ4</t>
  </si>
  <si>
    <t>https://mega.nz/file/SJtSnYqK#edgEqKUiXWMMDLz6iEXYEE_ulZv4nWrhGyyswOqwCDk</t>
  </si>
  <si>
    <t>https://mega.nz/file/6cNWXbaA#K6erUaY060JtV-eMQmenKnB1VpE6HYDOP6c45ThLtg0</t>
  </si>
  <si>
    <t>https://mega.nz/file/OcEyRR4I#hhGLuTyKRcTG5qfF7CUowY1wP88utFbpDWp5Jj20SfE</t>
  </si>
  <si>
    <t>https://mega.nz/file/DIlVSASQ#c0IuRmRm1xSc4qEcNLDWrVdBK2hhICoobaabtVkkj4o</t>
  </si>
  <si>
    <t>https://mega.nz/file/DJV1QRDD#799xbAaszaxBshrJ30ha67Mbm7L6DcqRoNKN155Qp4k</t>
  </si>
  <si>
    <t>https://mega.nz/file/mVdlHTYD#1tV-WR0DNAp6tz3OvqC0I-DJX3m15dpKXXV7IdYRafA</t>
  </si>
  <si>
    <t>https://mega.nz/file/mBFGlYZC#SKryrcFxRg2G6lKie0Fp-ELizaEpcfnpygeV0fG5DyY</t>
  </si>
  <si>
    <t>https://mega.nz/file/HE8TUJYI#iHqHyCcpVON0lBdcmG-QgbtxiBjl_RECEDg8W4ubhbg</t>
  </si>
  <si>
    <t>https://mega.nz/file/bIMymCgZ#jlYuwnEtklqoVfR9dFwcJorULDowPFSqv1vjDHFmHkg</t>
  </si>
  <si>
    <t>https://mega.nz/file/HF0kFRjD#MdtQ1LZBxO_9TH-u1MBbXl5khZyThxAMdjnvIL0N5B4</t>
  </si>
  <si>
    <t>https://mega.nz/file/md8DBaiZ#fSCvIkfMNTjFPh5asB4mE3D2g6EIK12uo-IZas2lQAw</t>
  </si>
  <si>
    <t>https://mega.nz/file/GB9WHAbJ#iqm__gJAJYBFC8ke8gGkPrDqXXWyHvGttVB45h2VqGI</t>
  </si>
  <si>
    <t>https://mega.nz/file/WcVCzbba#_9Kxudw41GTLUW13q2fzEnG5N58txDJ-lk7GxdX5G4A</t>
  </si>
  <si>
    <t>https://mega.nz/file/6QsDiIiI#rQXN3L2OwftP66d2PgrJ5VdY8uvQhgJRFyGGMt_N_R0</t>
  </si>
  <si>
    <t>https://mega.nz/file/aMklBaaJ#xJxIv1ObwmiyLBw6-WRr7XrvyNc0GRm_4KECSkSKx0M</t>
  </si>
  <si>
    <t>https://mega.nz/file/eJkAmByL#OwQcoCqdViHHIiyTEDQUrQs4c5P89dfeGAUxqsx5duc</t>
  </si>
  <si>
    <t>https://mega.nz/file/qA9yUC4C#5vnvlWeQ2prDom_dserPLtRzUqn-L7t_6IX4lt_r1Qg</t>
  </si>
  <si>
    <t>https://mega.nz/file/rVcFhC6S#qNjHO75I9slM-5XgLd2ZzbG0drNmmSLLvRKA_8AcV6A</t>
  </si>
  <si>
    <t>https://mega.nz/file/DUsShSbK#xYSSUPBf90KKLTnhV4bcgZpBkMMMLpUZ-yjT4wuUePg</t>
  </si>
  <si>
    <t>https://mega.nz/file/yUdlEYyY#WRAv-OJ-TwxIFQcf00ovnft53m8QSk2rD_U2rzA80fQ</t>
  </si>
  <si>
    <t>https://mega.nz/file/rMN21TII#Z5F0M58Z9W3Zq7csVOC2qNoLlUHvKgFgwrhxlEsDEjk</t>
  </si>
  <si>
    <t>https://mega.nz/file/PNN0nYQQ#S4EALCaMzLHBZVhaAUWjDM8e8ikepQNW93Z-6v5WiVM</t>
  </si>
  <si>
    <t>https://mega.nz/file/SZMSSAyA#j6-5ljvYacojc9XzEoqHSg73YGJ4GKV7OvGCbVD0_uc</t>
  </si>
  <si>
    <t>https://mega.nz/file/jE1A0a4C#tqylqJHmAAtjiRDkdqdwL2-K-5rHFPHtrx5TMRPgIWo</t>
  </si>
  <si>
    <t>https://mega.nz/file/vZ8hFZKR#aVcGP_22M_gIO9b1jI1q0on7Jvw88zdxCc-alfc2oaY</t>
  </si>
  <si>
    <t>https://mega.nz/file/bdsw1KTC#I47H0NVLycs2Aq0zGYUKM_loFkQDO5HAcfG7pXarMl0</t>
  </si>
  <si>
    <t>https://mega.nz/file/SZ00na6Y#quQPt3y69dk2jZYrPF2xzd9RTWHu6KbWgxbbY9aZWbg</t>
  </si>
  <si>
    <t>https://mega.nz/file/bRFGTbZI#ajWW5dkVcWWIrKQHMJ2PwmBoebMlne4FovLVsukNYUI</t>
  </si>
  <si>
    <t>https://mega.nz/file/bckFVIiC#wH0Kb2DRhrf5nwgunK4lUfwXRLDvvw16TTN8JpnYxVE</t>
  </si>
  <si>
    <t>https://mega.nz/file/SM0jFZoD#9ccnNnMIyL0mBOHk7Pkt1Bu7X7E-vqQ-Zh1IbrNBy_4</t>
  </si>
  <si>
    <t>https://mega.nz/file/6R81lZrL#TfmF77axvM6cq_kfAhfIF_X49HY3be0qIhupSgFvCc4</t>
  </si>
  <si>
    <t>https://mega.nz/file/bQcUVC4I#Ifj8quqp8fEVKGMqmup7Iv7J6RfbizjiavA3CnsNHfk</t>
  </si>
  <si>
    <t>https://mega.nz/file/DVVyVZIR#JiAYseIK4YCsrtj1Qgi89s_ZhmfVqJvSQTznc2zJJ-E</t>
  </si>
  <si>
    <t>https://mega.nz/file/aQ1gGLbR#poKEDK-0-0BaVwVQVr8kuOWLYxWp72Jqsd2gaRw72Us</t>
  </si>
  <si>
    <t>https://mega.nz/file/LYdAQSRK#r1jTq2KjbGDbUaM38pJK_M-NGT-5UTUmOyurfhVkPJQ</t>
  </si>
  <si>
    <t>https://mega.nz/file/PY8iUQ7S#O0ooyH8glfRxS7oCMkmjBMPASHFj7IRsL7kUvMLXRcI</t>
  </si>
  <si>
    <t>https://mega.nz/file/zJEAjR4I#0BL_yofOnZ0HITlOHb5VSVTabVfzf_eTqGLvzDpyoHA</t>
  </si>
  <si>
    <t>https://mega.nz/file/fAUECAQQ#2zIFsxWFoy5Q5r8Pv0Wxtg2eKs5FExlB0ew0XeuKFT4</t>
  </si>
  <si>
    <t>https://mega.nz/file/jQ1D2DST#glJdHFhQgEREcbs6yoO0VNQFrSk9xSF5QiF57G3vqv0</t>
  </si>
  <si>
    <t>https://mega.nz/file/aJtHwSQI#5xYXT0XQPjs5_O2upbvWRXVRmkmp-mJCnK866uVnTrM</t>
  </si>
  <si>
    <t>https://mega.nz/file/KIUEgRBA#6qmDeNka3eb8HlidUUH8me5AsH3-0hmKko_Bjc8q6pM</t>
  </si>
  <si>
    <t>https://mega.nz/file/7VVTiD5Z#fV8lsj6xDd7InHtikLIraN9O4gv4GJ8UZTQiJmmY4NM</t>
  </si>
  <si>
    <t>https://mega.nz/file/mMVBRSiT#aX1tVpcByxId720qIO2PHA0e5VP-EAauy9x782s3dDU</t>
  </si>
  <si>
    <t>https://mega.nz/file/SZU2FaJS#gpcrRBlNQsjzWpaVuce91qDq8R1zKLSRP1KVB2sEqWM</t>
  </si>
  <si>
    <t>https://mega.nz/file/mQs2wRbQ#pPLJij-mSpACEXBNfE452LMg9_NmrBA4AZsIDe1slII</t>
  </si>
  <si>
    <t>https://mega.nz/file/fMFEHCQJ#CC8SEoX-spJO5vxIVf0TcnsHOoSL2Ls-ruvppw-ANF4</t>
  </si>
  <si>
    <t>https://mega.nz/file/zEU3AJ4C#nR4dCKFDDr0NKY5LSQazI0dUbf4KlYV4QD5-Vo7UthQ</t>
  </si>
  <si>
    <t>https://mega.nz/file/nNkWEbQb#zytq6YRiaO0ChGowmLxlfQUYTw04c8GuV1Mc3_hxjz8</t>
  </si>
  <si>
    <t>https://mega.nz/file/qM8AFYhb#yRz36VYJozD51CUSsp4QYxk5BQXMgw8098qlwm875yI</t>
  </si>
  <si>
    <t>https://mega.nz/file/Wc0iSDxD#T_2j2dGDGIQU7CC4EVVnhxVvWIH_rWjU7q2cVPQynyg</t>
  </si>
  <si>
    <t>https://mega.nz/file/rQNkgZKC#wA0tSI5Mpphhmv7bLrvS_CzmbZtGQKwlw-wWwWADsgA</t>
  </si>
  <si>
    <t>https://mega.nz/file/iYU2UJSL#RmAIdNAeRRjRjPK8eeNTdKhquFiqeN4Qb1aKnxGEBQk</t>
  </si>
  <si>
    <t>https://mega.nz/file/eddE3QaL#MEvtj92GnvfIbPxHQ9JhL_5iguLY1JIiVggnXbxdr9I</t>
  </si>
  <si>
    <t>https://mega.nz/file/KMtkERZA#kwMMexGq8z7hrvH9T1uqgjeF7UvBG-UuQHz3r1vyE1E</t>
  </si>
  <si>
    <t>https://mega.nz/file/2EEw3RpL#WOosH3sQIr1fFgOYH_qGa5NOXjqtdrtP8UP-8XPjQak</t>
  </si>
  <si>
    <t>https://mega.nz/file/CU8EEBLL#XRrG1pI3zBnWWqJ5049DzuI8kOOAL5W2lOUdL16jzBo</t>
  </si>
  <si>
    <t>https://mega.nz/file/2YMyFCIK#kvfMM9SGJSCBvtRzKj3e6g993qeQe93FQKUO3OXzy0o</t>
  </si>
  <si>
    <t>https://mega.nz/file/bAkXUJ6D#utCo2PV5DefrUAV7cvzCB25rPv6s6osn7eXKX04KYaM</t>
  </si>
  <si>
    <t>https://mega.nz/file/3VMRlZbD#tuYjI-UpfL_FOkr27_z6q66q8cG_jkiAqxEsrA-vi90</t>
  </si>
  <si>
    <t>https://mega.nz/file/3FdyBCoZ#rfl6mpNKeA5ANzOnOkI6XDz3iN0_YLsUSnEO35kU_t0</t>
  </si>
  <si>
    <t>https://mega.nz/file/rI8l3IYD#dz6rtNlX1NZ5-i02EoJE6cGzNTXNto9-bA05Oj7Hf_I</t>
  </si>
  <si>
    <t>https://mega.nz/file/Xc10XDJK#R3io6Vk3g59dfR7AWNuYhkkR59Ietfhv6BOwXqYGn4I</t>
  </si>
  <si>
    <t>https://mega.nz/file/3cdhUTCa#2AtovY5-KqAAKjxhT4Lx91g5ooCUYlVmuwdGaA8K-k0</t>
  </si>
  <si>
    <t>https://mega.nz/file/PcEFxYyC#uMSTVGo-8fUf2-__-EFtpBPD_VyoNeS9mGcSt1TaeRw</t>
  </si>
  <si>
    <t>https://mega.nz/file/KNERGD7A#nnWvrcgd3PcmfXvBD37bMd6vSXxrWIUFUDP31EC1Bgs</t>
  </si>
  <si>
    <t>https://mega.nz/file/2U9QSDgZ#w60aDQ6kfpnRlCeqmoIy5P88q39d1NQqruDFosmjLEE</t>
  </si>
  <si>
    <t>https://mega.nz/file/mN0ShApY#CNShwoYsRLWWjkBpUSkViM4821Tz2D08hTyl6mfKu_A</t>
  </si>
  <si>
    <t>https://mega.nz/file/DNFVBToJ#qZRXhK5cemZgI3WKZ-nFLppL65V5xTZrbn-kLsG_W20</t>
  </si>
  <si>
    <t>https://mega.nz/file/jVcyRbRS#2uFxZ2FfVf163fwOPkpXCMabrRzrgouavw6VIdKnseE</t>
  </si>
  <si>
    <t>https://mega.nz/file/yYMVyZaI#6SWLFcrXl7a8C7rVijDHioi79_3d5BdHd5-rG9bqQv0</t>
  </si>
  <si>
    <t>https://mega.nz/file/DdNQHY7S#MznPbkbKJuJf4VZYscb-b9yo41MLPJK8t7b_1sddXZ8</t>
  </si>
  <si>
    <t>https://mega.nz/file/OUVmSATL#_8_Hm0X1Tn6aGvo6oWJE4AN2qM6HfSxByWb5-7MMp4M</t>
  </si>
  <si>
    <t>https://mega.nz/file/PYNR2Dwb#3zcNnNf-cOw8MsD92o9s4WgVKvEz60SvPtjwHVct3WE</t>
  </si>
  <si>
    <t>https://mega.nz/file/aZ9XDRgY#AnVEvlX2asxSnvnkrDMSrJs5HZ_JncWbpW_TF54LCiw</t>
  </si>
  <si>
    <t>https://mega.nz/file/rQtFXboB#OCMk_fHRTjtH1d4wx5aoa9lm8nSu-pXgsc76BTEhsmw</t>
  </si>
  <si>
    <t>https://mega.nz/file/iNMmHLAR#qM-RZi4q3dVX-rwhujyfh6yWQyZMtugBKBSwZMKme5k</t>
  </si>
  <si>
    <t>https://mega.nz/file/mYtV2CyD#UwZuIZhRyjP0Q9DpdUy-N-5RUgOpH8BsyWUDi5QLY4g</t>
  </si>
  <si>
    <t>https://mega.nz/file/6cszmZAC#PEr6Yi4tZM-HrRVHSmx7dkuLS29nXbdEwe1huvg2kjE</t>
  </si>
  <si>
    <t>https://mega.nz/file/iBtU2AoB#k0YChAUXfcQSRNShouDPC_1Hw_qCUUSqjdt3zdRaG8A</t>
  </si>
  <si>
    <t>https://mega.nz/file/KF8SEJCK#6trBqOGS374XPa_2u-Bb_YMfu-hys_bfNa16zCQ2aLc</t>
  </si>
  <si>
    <t>https://mega.nz/file/LBk3yCQB#6kmNG1pgeRPPur6HGjgzFwMcesDNOXBvtHhwBGWT29w</t>
  </si>
  <si>
    <t>https://mega.nz/file/HQtlxR5A#qDWBLsEEchaJ6UDOy_o2U_UYSLJHA5TRH2J_edlHn6o</t>
  </si>
  <si>
    <t>https://mega.nz/file/WN8z3aRJ#QU8t69IJE4n5BWES8mEJFkI5uofO1t-8wP7R9jtj9xs</t>
  </si>
  <si>
    <t>https://mega.nz/file/XdNFlCBI#C-mIp3jAEwEH58udReOXx_VV9IOiXfenqIqYygH_WMA</t>
  </si>
  <si>
    <t>https://mega.nz/file/DFlUDLgR#lYc_Nqaq2CP7sq6DQtVbNBR3zIVLow-WJm184rJLpzI</t>
  </si>
  <si>
    <t>https://mega.nz/file/jUVxkC4Y#jVFbVkTnfR__Irf0OApoZsoVPRMe8x4AU6WhJcv_zog</t>
  </si>
  <si>
    <t>https://mega.nz/file/PIklnICb#W6lEIlrrJuhYnVNyQaBQLUjdsXamaa3jO00aaEBt_Rg</t>
  </si>
  <si>
    <t>https://mega.nz/file/bZ1nAZDB#8LNzHsEjvIp42-oCRAs99LnXRMZhkEz6s-rx9u1VYNw</t>
  </si>
  <si>
    <t>https://mega.nz/file/TRs1VZwZ#t9sDm-Upie-bLj9lxFrEWgqLlN5cLS1qFhO1Vx3nXX0</t>
  </si>
  <si>
    <t>https://mega.nz/file/qU1DzYyC#5spymxzchMSQBQquO5Er2XykFBEvx51h79-PHeZsXyI</t>
  </si>
  <si>
    <t>https://mega.nz/file/SQlyXbKS#0biXpxmcWL7r99caZ0jUNOryBJvd-1EdcyjwFnkRTl4</t>
  </si>
  <si>
    <t>https://mega.nz/file/uQdHCbqJ#XyyPcVmTdcoo8dkSdpRGb5TNKciRJ3NbuACsEQH2sEU</t>
  </si>
  <si>
    <t>https://mega.nz/file/2RFhzCjZ#eb7ccMHlW_k8v1--vaw7yqterrTNtKzZgrqVjhPAps8</t>
  </si>
  <si>
    <t>https://mega.nz/file/3I0lhYxT#QRB-SYdOSNpuw6HrNTX5U1PFV5gDRTeW6Q-uLsYC_a8</t>
  </si>
  <si>
    <t>https://mega.nz/file/PMc3wS6L#V0GhcGNq0ba5nfPaxQAqNhOdJH4XiglsGFD6zb0hcIY</t>
  </si>
  <si>
    <t>https://mega.nz/file/qd0CWb4R#y2zczr1xnyr73DeLkHrRZu24BwCs6lXoagKLD63tUJM</t>
  </si>
  <si>
    <t>https://mega.nz/file/CJlGFKDT#UQQ237w1p4sjYxCQUv1M1DZ31N7_BFXJsZ_3sCj8dQs</t>
  </si>
  <si>
    <t>https://mega.nz/file/nU0QxbiT#_eYUbDVdt-OlqRlEdCcdj9-7DGvw7A9Off2UIxHd_5c</t>
  </si>
  <si>
    <t>https://mega.nz/file/PAFA2DoI#6l-BxTMaptdRMQzvIgVZkjLttvzUoXPk3xc7fRK8HW0</t>
  </si>
  <si>
    <t>https://mega.nz/file/GIdwCRqB#2yUxxCO7w1D4v7DD7oDfvH5_gWp-HpV1zkVSZXYIAe4</t>
  </si>
  <si>
    <t>https://mega.nz/file/bNkTyQxS#y72Q5r5Zk6D9BugU9dvc3Lvq1frlZkDJBKXOdNjov10</t>
  </si>
  <si>
    <t>https://mega.nz/file/DEFzEJgJ#gHpzSSBLKrPcp5VqpDt1q_KwemwPrbldJR-2gQnZ5AI</t>
  </si>
  <si>
    <t>https://mega.nz/file/jY8WCAIK#DaIpF1NQcpXQ7nwsB2urMI5jpN2Ao0k2XfdrIBjKvPs</t>
  </si>
  <si>
    <t>https://mega.nz/file/qUEFXYZT#HwFEqMEOWF0eNLiyO6tsGxixnz0ayvK9CZjv_Q_cx-Q</t>
  </si>
  <si>
    <t>https://mega.nz/file/SB8UgY5Q#Qd6Ek1N9KBwTZhvPfMc8IHxa_i1OEMkcU3G3jj8zIPw</t>
  </si>
  <si>
    <t>https://mega.nz/file/yYlkWK6T#rqgkbO8ze2-YvGCj9K4z-PrbQEua9NgtUticdMgBl7M</t>
  </si>
  <si>
    <t>https://mega.nz/file/qQMGXAhK#C6RJOx5TbJtQds5EkDNG9l2ekI9UJXzRjMjxN751gJo</t>
  </si>
  <si>
    <t>https://mega.nz/file/TEkHESgC#kff9sz9jEwH3f9SdFkahsIKZs9eSHwYqtmo9wEwC-Bc</t>
  </si>
  <si>
    <t>https://mega.nz/file/nV8SDCxC#nRb7mhiEUu3t50ttCnLkyasMfYnNu9FwznWj_gnQFkE</t>
  </si>
  <si>
    <t>https://mega.nz/file/2I8UUKyR#cQZoxuj10uyNryNSQ9HjyyqW6T8sEOWYr1WTo9Qo_gc</t>
  </si>
  <si>
    <t>https://mega.nz/file/KUcVVJ4Y#_nIUzOFLMFkluSsFGKDZsGPkCOFwH_XUaT6vPn63LUo</t>
  </si>
  <si>
    <t>https://mega.nz/file/aF90HLDT#hDoEaYyXnxvclnmjtOpx_FqsW4z_7oUa5SXBejW5zMU</t>
  </si>
  <si>
    <t>https://mega.nz/file/XYEQxSJB#Ah0ePbA4TzE3w7GoIKopKazZWFdKcO9tJeBUnGBucIM</t>
  </si>
  <si>
    <t>https://mega.nz/file/3VkQiBhT#pcrU7XyOaoM7zWpKHQo8kEKA2Omsdg3YdavLnN51IP8</t>
  </si>
  <si>
    <t>https://mega.nz/file/SBECzJCD#fldPuhLuP6MvatZmUCUMbrWErB8agLJr6Yf5Vw6deto</t>
  </si>
  <si>
    <t>https://mega.nz/file/eYkR3bLZ#ToMiqRru8PvsX52S2sDqczbvm55DPcqRkct42XxABck</t>
  </si>
  <si>
    <t>https://mega.nz/file/bBU31QJQ#GwbWqu43tqXn5kHagA18cXIY8rL8WfamGlOPdw1EiY8</t>
  </si>
  <si>
    <t>https://mega.nz/file/qZFTkDCA#UNYM_BnXk1LZDuIgG6bhTSViKWq_DEdKtbk_bCnEjJw</t>
  </si>
  <si>
    <t>https://mega.nz/file/PMM31ZbQ#WjseSAo4wvA_UAYFRwBOgOn-dtRdDg07I51O1n8XDlk</t>
  </si>
  <si>
    <t>https://mega.nz/file/aQUUBaiI#5cvQeqtbk1q3ywVohys1xqBVtvmJ2ru8ultTHt5khPQ</t>
  </si>
  <si>
    <t>https://mega.nz/file/zdVwwa6S#WCtS5qhc1Lo6rNqFWqVROIzVUvKSarhZemU2WBfbZUY</t>
  </si>
  <si>
    <t>https://mega.nz/file/jQkXkZTS#Vv2qdILeltAAUFFoV8uw0mj9PSYVcPHtpXnvXskRkU8</t>
  </si>
  <si>
    <t>https://mega.nz/file/aVMmiYTC#Wot4nwnI4GqZ_2bg0CtpT4lN4G0QRaV3953IXeXslcE</t>
  </si>
  <si>
    <t>https://mega.nz/file/TMtChQAC#NFq9LL-6vsEnRYMl6WqUP0C3oAh7SOqJrWUOgAkMgU8</t>
  </si>
  <si>
    <t>https://mega.nz/file/eFlShSpT#DrRsmHfMr2PFitbBLHsY67FpQRae3U9rT56bU3d5I38</t>
  </si>
  <si>
    <t>https://mega.nz/file/HYkkDZxB#y7U7sBsCNW0q3xgu682GYiy5um_ezlaOg782zE2l0aY</t>
  </si>
  <si>
    <t>https://mega.nz/file/DRkhXDCZ#NtMb7CXI0zuxA6y3an4SWWC7JeOtKz1ZflIusvfugGc</t>
  </si>
  <si>
    <t>https://mega.nz/file/idNB3BoQ#Ws1hrcRn8WAXK7TZNhMh8QSCkfx2XchcTdkU1CV9jdQ</t>
  </si>
  <si>
    <t>https://mega.nz/file/DIdhHQxL#X1Nv9q1XCKZ_NBkeuvZ6VPqd5IJlsr2jsVX0PhFT9gY</t>
  </si>
  <si>
    <t>https://mega.nz/file/DB12TB6A#kzdyF_HscBUHZv409PgH8LuLtA7nMCDuym6hSkn05R4</t>
  </si>
  <si>
    <t>https://mega.nz/file/jEd0ADqY#H2D9zd0ppynanZnnfhCBhnPMlIPekdKjAs80Eznh0Wo</t>
  </si>
  <si>
    <t>https://mega.nz/file/2QMHDIDS#RUKu9ZJRV8-1nErld8HGzXQFdq92ncBodzE67SpuErs</t>
  </si>
  <si>
    <t>https://mega.nz/file/aMNiDbYC#IWGXKPBQ0YfnJKCBYSU8ook-pktp_ZgA-PKtpciJmxE</t>
  </si>
  <si>
    <t>https://mega.nz/file/KcdCwKrY#KJpN5PBEPkvpYzLiZoaMAjcz7WEAStyYaGCcgPJo__M</t>
  </si>
  <si>
    <t>https://mega.nz/file/fVtx3CKY#hCUz97okUCvcqirJfs5AlQMnRDOxUeNcPv9nFqpFI5s</t>
  </si>
  <si>
    <t>https://mega.nz/file/Tc031BrJ#9uYv3sKqgeLbz6vU03ijURcu5J_W6fx_AScJCmVY9Fs</t>
  </si>
  <si>
    <t>https://mega.nz/file/6ANjiZCY#5sWK3bs5Azy50gRLfz5-lazN-iAFeo6g-Fs2mCw3Qzg</t>
  </si>
  <si>
    <t>https://mega.nz/file/WdFRWTKJ#U2P70hAAG7ewEQ0xiczw9Y7zvFCEzx1XxoE12ETLpb8</t>
  </si>
  <si>
    <t>https://mega.nz/file/zZNHnJKJ#pXXJWiQY5-MWc5MU24d0_yxlvFe2T0D74NrNbKCFlIM</t>
  </si>
  <si>
    <t>https://mega.nz/file/WI9EiKJY#zuOlWYJSyEAcQ3fS6x8NxWm1XR11BGfq1YbNgAT0ZOQ</t>
  </si>
  <si>
    <t>https://mega.nz/file/XRMRmCRQ#j_wygrBk1MnSF13j13Il3g1IfeklNDzp2Wi6457jSrA</t>
  </si>
  <si>
    <t>https://mega.nz/file/CFdjSLhK#Vw7UmrVnDt8CnNsYdI4Z8txbGYWFc02A0duU2RDCpNY</t>
  </si>
  <si>
    <t>https://mega.nz/file/PNlR2IpY#D7fROZ7ygrze8bCw0Z6E2g6ZKYmdxvBiNBNfS3Owk24</t>
  </si>
  <si>
    <t>https://mega.nz/file/3N8WFIhb#o_dVCOKerRd2Loow7XPE1ZgZ7sL-Qaf-fQvPIAdFiRE</t>
  </si>
  <si>
    <t>https://mega.nz/file/yUsFCLYQ#3WOR08HSBb_VzQ_k7VcaFCAAerNgxMMYi1ET76nuOdQ</t>
  </si>
  <si>
    <t>https://mega.nz/file/GRsxESIB#GLiMbY6l7OkFbVvV8nIgOjCkBeyIFgVTy8PjR3d6sXA</t>
  </si>
  <si>
    <t>https://mega.nz/file/OQ8AhYrA#oGeChXS2OmvqiLyxAmuSiQoInfYs_zPS7zb8r4LCqiA</t>
  </si>
  <si>
    <t>https://mega.nz/file/rUthTBTC#MolHUI5zmzV5mHN0kBwCFD90YxoIzWb7GCq9I__3_lI</t>
  </si>
  <si>
    <t>https://mega.nz/file/XJsXBDSD#1eC2mt0Oup8j4RQQF75aqxm611CNoMb-M_AmQwt6erA</t>
  </si>
  <si>
    <t>https://mega.nz/file/yFElCCQY#Qkq18dXX2XVfzR8Hg320WQaaWevIPtllc1HJttS8xlU</t>
  </si>
  <si>
    <t>https://mega.nz/file/vUsXDaxB#1lzYrHaUQrbzBGqh7IY3eVWxFbuSlWisugcjlKKwWMk</t>
  </si>
  <si>
    <t>https://mega.nz/file/bdFBTYBJ#51M_nkSVzNT9WpJinqbHs6HBmP26WUIKHL1wibW1SfU</t>
  </si>
  <si>
    <t>https://mega.nz/file/KBMTTLIQ#ubQbr00tKKyEwf922eXmyq9IttP-2rCMBuzKoxH35gY</t>
  </si>
  <si>
    <t>https://mega.nz/file/7VN1hSDY#7UIvt9f6xxEA1AspWFWa8Jd5wynpgu-tw-6cE_zABOU</t>
  </si>
  <si>
    <t>https://mega.nz/file/eJcAnSYI#RZ0q0fdjOlmmtATIt6zs0iNwHXdkg7aAD-_O4oD0sjc</t>
  </si>
  <si>
    <t>https://mega.nz/file/bBEVASCB#BZC6QRUwRGyP1LcZ1zrFmwjfAp_K8bMsn50SqMTGFNY</t>
  </si>
  <si>
    <t>https://mega.nz/file/PZ1FGZoY#pbFvxEzBEBS44Mzkt05Vj3O08qsvAPDjOtHn5wSCNCg</t>
  </si>
  <si>
    <t>https://mega.nz/file/6M0QWJiC#VC0Qonmag7BMenVFpYvwwlsWCMRR_lBLjg6u14IkVBc</t>
  </si>
  <si>
    <t>https://mega.nz/file/iY0TBAJA#M1ntbmqAhJrXIW5qBP3f80yiPtZ5O9pTW3aujd0CWe8</t>
  </si>
  <si>
    <t>https://mega.nz/file/qE1HELpB#_UcSnSudrD4rW1Wqqj09QDMMSMMPo00HpYfa8MqySqI</t>
  </si>
  <si>
    <t>https://mega.nz/file/DZVQGahR#fJXhrmteWVz6azCC4N2cEKvUu2fzuPxi8pTf6O2ta3Y</t>
  </si>
  <si>
    <t>https://mega.nz/file/WRdF3LIB#2sykwYB861ZAaR3zRLvBPu9B34R7HISrWhLH7KMNfF8</t>
  </si>
  <si>
    <t>https://mega.nz/file/jYVgjBoJ#Bp-vBfWLv_WyZhkGWFpMRIbr8ThkP2TZr_A8xy8BoTs</t>
  </si>
  <si>
    <t>https://mega.nz/file/2Et3yYaJ#8G9R_qGfLsjD6gmJRU1xk3-l4545g5hNSRDqZziVKWI</t>
  </si>
  <si>
    <t>https://mega.nz/file/OB8CWIpA#0l45-Jz5ryQJGyVkKCKAeH3AmH0_wBeoVhTacMKi-8Q</t>
  </si>
  <si>
    <t>https://mega.nz/file/Cc0BhZCZ#aqPxrNgULl-QungIhS8z1Ttwy97yxXndoPzHcKjOG7U</t>
  </si>
  <si>
    <t>https://mega.nz/file/rIdCXRYQ#9zcbZUh2uVqXxMcR7js4UwwDDIOijG5zb2mX9Bo-CRo</t>
  </si>
  <si>
    <t>https://mega.nz/file/HEcEhQhJ#Vy4X6xop_1sh5R0Prv9qLL6dW3yqzdRl3Zi3MkOOyVM</t>
  </si>
  <si>
    <t>https://mega.nz/file/HFNTiD5Z#LSBbsbctYeKowAscASTeytMluBEyb2epPJI6cfri_tA</t>
  </si>
  <si>
    <t>https://mega.nz/file/uQsyRBYT#U447Tk2AaeqIS_YU2tJ16fLtflm6h0yXlgx-uBlKZHc</t>
  </si>
  <si>
    <t>https://mega.nz/file/jd0XzD4C#LhLKpTnC9lGsW1EjDgVaffJQcubVILz3m1z7ByAgmE0</t>
  </si>
  <si>
    <t>https://mega.nz/file/TJckXICJ#fwS2hCdhTO15WaJbCRMFH5zRwB6nTnTG4RY1fijK-ko</t>
  </si>
  <si>
    <t>https://mega.nz/file/qZVHTLyL#oP1lFYQMcyVgyjLvULruHqd46OLCmzHGKbYj8govjdA</t>
  </si>
  <si>
    <t>https://mega.nz/file/iJ0RVCzb#cClidTzrB4rdCQgsONR91S_Jdo20zvr1HpuIP-rLhTA</t>
  </si>
  <si>
    <t>https://mega.nz/file/WJc02K7I#_J4sTySjHTE_nQhyIA7wOY713UAaBjXKuX70KeWoJsM</t>
  </si>
  <si>
    <t>https://mega.nz/file/bdFxxQ6I#N9xNN1x1tgfkF8zCjOgGZK9oE_2KCJl0wHMlkxTvpV4</t>
  </si>
  <si>
    <t>https://mega.nz/file/2Yd2ECQb#iWe-2aAfSKSZ0JZMJBGvartmj7skpcQ7uzRmB-hMVZk</t>
  </si>
  <si>
    <t>https://mega.nz/file/uRkwwZbT#BsiwhCCzByL8AgVmpp38Y7QTaJEEI2TzSod7Xwu-lik</t>
  </si>
  <si>
    <t>https://mega.nz/file/PEFyFQCS#qH8oslwWxcGWIgzn8HzZa7_UXprzB97zXp1Cn2gWL7k</t>
  </si>
  <si>
    <t>https://mega.nz/file/SM8i2RZT#Q2y9AeZzLX9dh0vppP8FVojvinY6xf4YoLZU1hsmOIo</t>
  </si>
  <si>
    <t>https://mega.nz/file/TEsUwKwK#D3UUiwsor-UFY2S4--ktOAsYf-seo1o_dt1miQHkR8k</t>
  </si>
  <si>
    <t>https://mega.nz/file/HcdSgawa#ukf3fUxr-SBfDZrNEDm-Pnygb0yXSDtUsIX8KSKdtds</t>
  </si>
  <si>
    <t>https://mega.nz/file/vFlykDIJ#Gm-7rGviv3s1MS5JJd8POMIIDImpbWzvJKOIEKHXsQ8</t>
  </si>
  <si>
    <t>https://mega.nz/file/DNNlkIwK#CLKMetQCvgN_74eaibXzwat2-cpIf4k31fLzNkMUezE</t>
  </si>
  <si>
    <t>https://mega.nz/file/OAE0AZJD#DBl41Iu-b61rZwHKG8NknOYToVkH53LwRCBe-quK2T8</t>
  </si>
  <si>
    <t>https://mega.nz/file/HdV2jYzD#vGeG-v_1w5XotP0PO89jhva4o8WGNUuwKpkT5ECprEw</t>
  </si>
  <si>
    <t>https://mega.nz/file/udsU3DwI#PvEyLDRYtW1d2cXGdo9I1MBJhRKtojTbc0j4xayjfNU</t>
  </si>
  <si>
    <t>https://mega.nz/file/mVEjgarQ#hgRs_11JFafsMTeEWJpb96QdTfTbeCcO9up2iJ_gqVk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</si>
</sst>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ga.nz/file/iMtTVJhb" TargetMode="External"/><Relationship Id="rId2" Type="http://schemas.openxmlformats.org/officeDocument/2006/relationships/hyperlink" Target="https://mega.nz/file/CYVAmQTI" TargetMode="External"/><Relationship Id="rId3" Type="http://schemas.openxmlformats.org/officeDocument/2006/relationships/hyperlink" Target="https://mega.nz/file/uBknlJha" TargetMode="External"/><Relationship Id="rId4" Type="http://schemas.openxmlformats.org/officeDocument/2006/relationships/hyperlink" Target="https://mega.nz/file/2BVRWIRD" TargetMode="External"/><Relationship Id="rId5" Type="http://schemas.openxmlformats.org/officeDocument/2006/relationships/hyperlink" Target="https://mega.nz/file/2E8E1DSQ" TargetMode="External"/><Relationship Id="rId6" Type="http://schemas.openxmlformats.org/officeDocument/2006/relationships/hyperlink" Target="https://mega.nz/file/uEF2QARB" TargetMode="External"/><Relationship Id="rId7" Type="http://schemas.openxmlformats.org/officeDocument/2006/relationships/hyperlink" Target="https://mega.nz/file/fA8xHYxR" TargetMode="External"/><Relationship Id="rId8" Type="http://schemas.openxmlformats.org/officeDocument/2006/relationships/hyperlink" Target="https://mega.nz/file/XR0UmISQ" TargetMode="External"/><Relationship Id="rId9" Type="http://schemas.openxmlformats.org/officeDocument/2006/relationships/hyperlink" Target="https://mega.nz/file/6JM2hCxa" TargetMode="External"/><Relationship Id="rId10" Type="http://schemas.openxmlformats.org/officeDocument/2006/relationships/hyperlink" Target="https://mega.nz/file/rA1GzZwS" TargetMode="External"/><Relationship Id="rId11" Type="http://schemas.openxmlformats.org/officeDocument/2006/relationships/hyperlink" Target="https://mega.nz/file/PB8H2RjY" TargetMode="External"/><Relationship Id="rId12" Type="http://schemas.openxmlformats.org/officeDocument/2006/relationships/hyperlink" Target="https://mega.nz/file/DcEinKTa" TargetMode="External"/><Relationship Id="rId13" Type="http://schemas.openxmlformats.org/officeDocument/2006/relationships/hyperlink" Target="https://mega.nz/file/nZ13hb6K" TargetMode="External"/><Relationship Id="rId14" Type="http://schemas.openxmlformats.org/officeDocument/2006/relationships/hyperlink" Target="https://mega.nz/file/LcFQHBIC" TargetMode="External"/><Relationship Id="rId15" Type="http://schemas.openxmlformats.org/officeDocument/2006/relationships/hyperlink" Target="https://mega.nz/file/7MkQFCKJ" TargetMode="External"/><Relationship Id="rId16" Type="http://schemas.openxmlformats.org/officeDocument/2006/relationships/hyperlink" Target="https://mega.nz/file/uJUDgBCA" TargetMode="External"/><Relationship Id="rId17" Type="http://schemas.openxmlformats.org/officeDocument/2006/relationships/hyperlink" Target="https://mega.nz/file/LRUFQQzA" TargetMode="External"/><Relationship Id="rId18" Type="http://schemas.openxmlformats.org/officeDocument/2006/relationships/hyperlink" Target="https://mega.nz/file/WZtGBZ6R" TargetMode="External"/><Relationship Id="rId19" Type="http://schemas.openxmlformats.org/officeDocument/2006/relationships/hyperlink" Target="https://mega.nz/file/bM80WYzR" TargetMode="External"/><Relationship Id="rId20" Type="http://schemas.openxmlformats.org/officeDocument/2006/relationships/hyperlink" Target="https://mega.nz/file/TUFh0TLb" TargetMode="External"/><Relationship Id="rId21" Type="http://schemas.openxmlformats.org/officeDocument/2006/relationships/hyperlink" Target="https://mega.nz/file/aB90QYAa" TargetMode="External"/><Relationship Id="rId22" Type="http://schemas.openxmlformats.org/officeDocument/2006/relationships/hyperlink" Target="https://mega.nz/file/fNcXhIJD" TargetMode="External"/><Relationship Id="rId23" Type="http://schemas.openxmlformats.org/officeDocument/2006/relationships/hyperlink" Target="https://mega.nz/file/GY800Q7Q" TargetMode="External"/><Relationship Id="rId24" Type="http://schemas.openxmlformats.org/officeDocument/2006/relationships/hyperlink" Target="https://mega.nz/file/iUkwjayY" TargetMode="External"/><Relationship Id="rId25" Type="http://schemas.openxmlformats.org/officeDocument/2006/relationships/hyperlink" Target="https://mega.nz/file/uUcHnYxa" TargetMode="External"/><Relationship Id="rId26" Type="http://schemas.openxmlformats.org/officeDocument/2006/relationships/hyperlink" Target="https://mega.nz/file/3M9CRA7A" TargetMode="External"/><Relationship Id="rId27" Type="http://schemas.openxmlformats.org/officeDocument/2006/relationships/hyperlink" Target="https://mega.nz/file/vMkiHDjC" TargetMode="External"/><Relationship Id="rId28" Type="http://schemas.openxmlformats.org/officeDocument/2006/relationships/hyperlink" Target="https://mega.nz/file/qVVzjbBR" TargetMode="External"/><Relationship Id="rId29" Type="http://schemas.openxmlformats.org/officeDocument/2006/relationships/hyperlink" Target="https://mega.nz/file/rYFVALTB" TargetMode="External"/><Relationship Id="rId30" Type="http://schemas.openxmlformats.org/officeDocument/2006/relationships/hyperlink" Target="https://mega.nz/file/CEFQgTDY" TargetMode="External"/><Relationship Id="rId31" Type="http://schemas.openxmlformats.org/officeDocument/2006/relationships/hyperlink" Target="https://mega.nz/file/TBUi0Q4C" TargetMode="External"/><Relationship Id="rId32" Type="http://schemas.openxmlformats.org/officeDocument/2006/relationships/hyperlink" Target="https://mega.nz/file/KZdRQYTZ" TargetMode="External"/><Relationship Id="rId33" Type="http://schemas.openxmlformats.org/officeDocument/2006/relationships/hyperlink" Target="https://mega.nz/file/TJ9nVSrZ" TargetMode="External"/><Relationship Id="rId34" Type="http://schemas.openxmlformats.org/officeDocument/2006/relationships/hyperlink" Target="https://mega.nz/file/GREmEAbK" TargetMode="External"/><Relationship Id="rId35" Type="http://schemas.openxmlformats.org/officeDocument/2006/relationships/hyperlink" Target="https://mega.nz/file/7dszUBaL" TargetMode="External"/><Relationship Id="rId36" Type="http://schemas.openxmlformats.org/officeDocument/2006/relationships/hyperlink" Target="https://mega.nz/file/CB8jVaIC" TargetMode="External"/><Relationship Id="rId37" Type="http://schemas.openxmlformats.org/officeDocument/2006/relationships/hyperlink" Target="https://mega.nz/file/fcEGGTYA" TargetMode="External"/><Relationship Id="rId38" Type="http://schemas.openxmlformats.org/officeDocument/2006/relationships/hyperlink" Target="https://mega.nz/file/nQlGCAwA" TargetMode="External"/><Relationship Id="rId39" Type="http://schemas.openxmlformats.org/officeDocument/2006/relationships/hyperlink" Target="https://mega.nz/file/Sckg2bCA" TargetMode="External"/><Relationship Id="rId40" Type="http://schemas.openxmlformats.org/officeDocument/2006/relationships/hyperlink" Target="https://mega.nz/file/zQVTCJqI" TargetMode="External"/><Relationship Id="rId41" Type="http://schemas.openxmlformats.org/officeDocument/2006/relationships/hyperlink" Target="https://mega.nz/file/LYs0wSrY" TargetMode="External"/><Relationship Id="rId42" Type="http://schemas.openxmlformats.org/officeDocument/2006/relationships/hyperlink" Target="https://mega.nz/file/uMk3VSKQ" TargetMode="External"/><Relationship Id="rId43" Type="http://schemas.openxmlformats.org/officeDocument/2006/relationships/hyperlink" Target="https://mega.nz/file/2ZNBSbRI" TargetMode="External"/><Relationship Id="rId44" Type="http://schemas.openxmlformats.org/officeDocument/2006/relationships/hyperlink" Target="https://mega.nz/file/bAsjBRzZ" TargetMode="External"/><Relationship Id="rId45" Type="http://schemas.openxmlformats.org/officeDocument/2006/relationships/hyperlink" Target="https://mega.nz/file/yBMF1SxT" TargetMode="External"/><Relationship Id="rId46" Type="http://schemas.openxmlformats.org/officeDocument/2006/relationships/hyperlink" Target="https://mega.nz/file/CIURXIKD" TargetMode="External"/><Relationship Id="rId47" Type="http://schemas.openxmlformats.org/officeDocument/2006/relationships/hyperlink" Target="https://mega.nz/file/HZFHhQhL" TargetMode="External"/><Relationship Id="rId48" Type="http://schemas.openxmlformats.org/officeDocument/2006/relationships/hyperlink" Target="https://mega.nz/file/LQ8CSLhB" TargetMode="External"/><Relationship Id="rId49" Type="http://schemas.openxmlformats.org/officeDocument/2006/relationships/hyperlink" Target="https://mega.nz/file/fI9QjSDD" TargetMode="External"/><Relationship Id="rId50" Type="http://schemas.openxmlformats.org/officeDocument/2006/relationships/hyperlink" Target="https://mega.nz/file/fQ0VXBpY" TargetMode="External"/><Relationship Id="rId51" Type="http://schemas.openxmlformats.org/officeDocument/2006/relationships/hyperlink" Target="https://mega.nz/file/CNM0kB6A" TargetMode="External"/><Relationship Id="rId52" Type="http://schemas.openxmlformats.org/officeDocument/2006/relationships/hyperlink" Target="https://mega.nz/file/udU03ZZA" TargetMode="External"/><Relationship Id="rId53" Type="http://schemas.openxmlformats.org/officeDocument/2006/relationships/hyperlink" Target="https://mega.nz/file/vNsiXb4L" TargetMode="External"/><Relationship Id="rId54" Type="http://schemas.openxmlformats.org/officeDocument/2006/relationships/hyperlink" Target="https://mega.nz/file/vNdQXagC" TargetMode="External"/><Relationship Id="rId55" Type="http://schemas.openxmlformats.org/officeDocument/2006/relationships/hyperlink" Target="https://mega.nz/file/3VNxCATL" TargetMode="External"/><Relationship Id="rId56" Type="http://schemas.openxmlformats.org/officeDocument/2006/relationships/hyperlink" Target="https://mega.nz/file/Od1WzaYJ" TargetMode="External"/><Relationship Id="rId57" Type="http://schemas.openxmlformats.org/officeDocument/2006/relationships/hyperlink" Target="https://mega.nz/file/DVUzgbRQ" TargetMode="External"/><Relationship Id="rId58" Type="http://schemas.openxmlformats.org/officeDocument/2006/relationships/hyperlink" Target="https://mega.nz/file/eY91nIyJ" TargetMode="External"/><Relationship Id="rId59" Type="http://schemas.openxmlformats.org/officeDocument/2006/relationships/hyperlink" Target="https://mega.nz/file/fANUSCRL" TargetMode="External"/><Relationship Id="rId60" Type="http://schemas.openxmlformats.org/officeDocument/2006/relationships/hyperlink" Target="https://mega.nz/file/6MFG2K6Z" TargetMode="External"/><Relationship Id="rId61" Type="http://schemas.openxmlformats.org/officeDocument/2006/relationships/hyperlink" Target="https://mega.nz/file/XBFzUILA" TargetMode="External"/><Relationship Id="rId62" Type="http://schemas.openxmlformats.org/officeDocument/2006/relationships/hyperlink" Target="https://mega.nz/file/jAM0XbDC" TargetMode="External"/><Relationship Id="rId63" Type="http://schemas.openxmlformats.org/officeDocument/2006/relationships/hyperlink" Target="https://mega.nz/file/SNEHGQ6J" TargetMode="External"/><Relationship Id="rId64" Type="http://schemas.openxmlformats.org/officeDocument/2006/relationships/hyperlink" Target="https://mega.nz/file/PJdkQIgY" TargetMode="External"/><Relationship Id="rId65" Type="http://schemas.openxmlformats.org/officeDocument/2006/relationships/hyperlink" Target="https://mega.nz/file/zc8Gxa6D" TargetMode="External"/><Relationship Id="rId66" Type="http://schemas.openxmlformats.org/officeDocument/2006/relationships/hyperlink" Target="https://mega.nz/file/XVUnwQzC" TargetMode="External"/><Relationship Id="rId67" Type="http://schemas.openxmlformats.org/officeDocument/2006/relationships/hyperlink" Target="https://mega.nz/file/jVMCzJQT" TargetMode="External"/><Relationship Id="rId68" Type="http://schemas.openxmlformats.org/officeDocument/2006/relationships/hyperlink" Target="https://mega.nz/file/DYV2ka6R" TargetMode="External"/><Relationship Id="rId69" Type="http://schemas.openxmlformats.org/officeDocument/2006/relationships/hyperlink" Target="https://mega.nz/file/qZtC3IpZ" TargetMode="External"/><Relationship Id="rId70" Type="http://schemas.openxmlformats.org/officeDocument/2006/relationships/hyperlink" Target="https://mega.nz/file/qUdXjQxI" TargetMode="External"/><Relationship Id="rId71" Type="http://schemas.openxmlformats.org/officeDocument/2006/relationships/hyperlink" Target="https://mega.nz/file/eAMkTbAS" TargetMode="External"/><Relationship Id="rId72" Type="http://schemas.openxmlformats.org/officeDocument/2006/relationships/hyperlink" Target="https://mega.nz/file/mJ8ynZiD" TargetMode="External"/><Relationship Id="rId73" Type="http://schemas.openxmlformats.org/officeDocument/2006/relationships/hyperlink" Target="https://mega.nz/file/PZ0mxYCS" TargetMode="External"/><Relationship Id="rId74" Type="http://schemas.openxmlformats.org/officeDocument/2006/relationships/hyperlink" Target="https://mega.nz/file/KVcWQKLK" TargetMode="External"/><Relationship Id="rId75" Type="http://schemas.openxmlformats.org/officeDocument/2006/relationships/hyperlink" Target="https://mega.nz/file/PV9E1DxR" TargetMode="External"/><Relationship Id="rId76" Type="http://schemas.openxmlformats.org/officeDocument/2006/relationships/hyperlink" Target="https://mega.nz/file/nJtjGA4Y" TargetMode="External"/><Relationship Id="rId77" Type="http://schemas.openxmlformats.org/officeDocument/2006/relationships/hyperlink" Target="https://mega.nz/file/OQc2hT5T" TargetMode="External"/><Relationship Id="rId78" Type="http://schemas.openxmlformats.org/officeDocument/2006/relationships/hyperlink" Target="https://mega.nz/file/Hd1EWBKC" TargetMode="External"/><Relationship Id="rId79" Type="http://schemas.openxmlformats.org/officeDocument/2006/relationships/hyperlink" Target="https://mega.nz/file/rYExgYJB" TargetMode="External"/><Relationship Id="rId80" Type="http://schemas.openxmlformats.org/officeDocument/2006/relationships/hyperlink" Target="https://mega.nz/file/yM1EER6R" TargetMode="External"/><Relationship Id="rId81" Type="http://schemas.openxmlformats.org/officeDocument/2006/relationships/hyperlink" Target="https://mega.nz/file/LZ82iRoa" TargetMode="External"/><Relationship Id="rId82" Type="http://schemas.openxmlformats.org/officeDocument/2006/relationships/hyperlink" Target="https://mega.nz/file/mcky3KQC" TargetMode="External"/><Relationship Id="rId83" Type="http://schemas.openxmlformats.org/officeDocument/2006/relationships/hyperlink" Target="https://mega.nz/file/CMERVIBC" TargetMode="External"/><Relationship Id="rId84" Type="http://schemas.openxmlformats.org/officeDocument/2006/relationships/hyperlink" Target="https://mega.nz/file/OIMEhDSZ" TargetMode="External"/><Relationship Id="rId85" Type="http://schemas.openxmlformats.org/officeDocument/2006/relationships/hyperlink" Target="https://mega.nz/file/WdUkkBaT" TargetMode="External"/><Relationship Id="rId86" Type="http://schemas.openxmlformats.org/officeDocument/2006/relationships/hyperlink" Target="https://mega.nz/file/DNsWQJ7A" TargetMode="External"/><Relationship Id="rId87" Type="http://schemas.openxmlformats.org/officeDocument/2006/relationships/hyperlink" Target="https://mega.nz/file/OcUFHJzZ" TargetMode="External"/><Relationship Id="rId88" Type="http://schemas.openxmlformats.org/officeDocument/2006/relationships/hyperlink" Target="https://mega.nz/file/OFUGzbbJ" TargetMode="External"/><Relationship Id="rId89" Type="http://schemas.openxmlformats.org/officeDocument/2006/relationships/hyperlink" Target="https://mega.nz/file/WQcECLaC" TargetMode="External"/><Relationship Id="rId90" Type="http://schemas.openxmlformats.org/officeDocument/2006/relationships/hyperlink" Target="https://mega.nz/file/GdMVkSrC" TargetMode="External"/><Relationship Id="rId91" Type="http://schemas.openxmlformats.org/officeDocument/2006/relationships/hyperlink" Target="https://mega.nz/file/vc01UZiJ" TargetMode="External"/><Relationship Id="rId92" Type="http://schemas.openxmlformats.org/officeDocument/2006/relationships/hyperlink" Target="https://mega.nz/file/rRdwXaoa" TargetMode="External"/><Relationship Id="rId93" Type="http://schemas.openxmlformats.org/officeDocument/2006/relationships/hyperlink" Target="https://mega.nz/file/rFUV2CiC" TargetMode="External"/><Relationship Id="rId94" Type="http://schemas.openxmlformats.org/officeDocument/2006/relationships/hyperlink" Target="https://mega.nz/file/HUlDSbwD" TargetMode="External"/><Relationship Id="rId95" Type="http://schemas.openxmlformats.org/officeDocument/2006/relationships/hyperlink" Target="https://mega.nz/file/DQVAUTqR" TargetMode="External"/><Relationship Id="rId96" Type="http://schemas.openxmlformats.org/officeDocument/2006/relationships/hyperlink" Target="https://mega.nz/file/uUsAlSzT" TargetMode="External"/><Relationship Id="rId97" Type="http://schemas.openxmlformats.org/officeDocument/2006/relationships/hyperlink" Target="https://mega.nz/file/KUdABZ7R" TargetMode="External"/><Relationship Id="rId98" Type="http://schemas.openxmlformats.org/officeDocument/2006/relationships/hyperlink" Target="https://mega.nz/file/rR1VzJLK" TargetMode="External"/><Relationship Id="rId99" Type="http://schemas.openxmlformats.org/officeDocument/2006/relationships/hyperlink" Target="https://mega.nz/file/qREikBqK" TargetMode="External"/><Relationship Id="rId100" Type="http://schemas.openxmlformats.org/officeDocument/2006/relationships/hyperlink" Target="https://mega.nz/file/HRNGSKKJ" TargetMode="External"/><Relationship Id="rId101" Type="http://schemas.openxmlformats.org/officeDocument/2006/relationships/hyperlink" Target="https://mega.nz/file/HNN3RB6a" TargetMode="External"/><Relationship Id="rId102" Type="http://schemas.openxmlformats.org/officeDocument/2006/relationships/hyperlink" Target="https://mega.nz/file/rYl0VIRL" TargetMode="External"/><Relationship Id="rId103" Type="http://schemas.openxmlformats.org/officeDocument/2006/relationships/hyperlink" Target="https://mega.nz/file/TJ0mVSAL" TargetMode="External"/><Relationship Id="rId104" Type="http://schemas.openxmlformats.org/officeDocument/2006/relationships/hyperlink" Target="https://mega.nz/file/SdlSQQJK" TargetMode="External"/><Relationship Id="rId105" Type="http://schemas.openxmlformats.org/officeDocument/2006/relationships/hyperlink" Target="https://mega.nz/file/iRcwSCpb" TargetMode="External"/><Relationship Id="rId106" Type="http://schemas.openxmlformats.org/officeDocument/2006/relationships/hyperlink" Target="https://mega.nz/file/7ZU3XY5C" TargetMode="External"/><Relationship Id="rId107" Type="http://schemas.openxmlformats.org/officeDocument/2006/relationships/hyperlink" Target="https://mega.nz/file/bMNiFTSZ" TargetMode="External"/><Relationship Id="rId108" Type="http://schemas.openxmlformats.org/officeDocument/2006/relationships/hyperlink" Target="https://mega.nz/file/3A00jbzY" TargetMode="External"/><Relationship Id="rId109" Type="http://schemas.openxmlformats.org/officeDocument/2006/relationships/hyperlink" Target="https://mega.nz/file/PUMjhDDS" TargetMode="External"/><Relationship Id="rId110" Type="http://schemas.openxmlformats.org/officeDocument/2006/relationships/hyperlink" Target="https://mega.nz/file/qI133DaL" TargetMode="External"/><Relationship Id="rId111" Type="http://schemas.openxmlformats.org/officeDocument/2006/relationships/hyperlink" Target="https://mega.nz/file/XYl2QTCA" TargetMode="External"/><Relationship Id="rId112" Type="http://schemas.openxmlformats.org/officeDocument/2006/relationships/hyperlink" Target="https://mega.nz/file/XU8lgbjS" TargetMode="External"/><Relationship Id="rId113" Type="http://schemas.openxmlformats.org/officeDocument/2006/relationships/hyperlink" Target="https://mega.nz/file/iRVE0ShB" TargetMode="External"/><Relationship Id="rId114" Type="http://schemas.openxmlformats.org/officeDocument/2006/relationships/hyperlink" Target="https://mega.nz/file/TN1WAKiT" TargetMode="External"/><Relationship Id="rId115" Type="http://schemas.openxmlformats.org/officeDocument/2006/relationships/hyperlink" Target="https://mega.nz/file/3YFkSSQS" TargetMode="External"/><Relationship Id="rId116" Type="http://schemas.openxmlformats.org/officeDocument/2006/relationships/hyperlink" Target="https://mega.nz/file/2MthRJjD" TargetMode="External"/><Relationship Id="rId117" Type="http://schemas.openxmlformats.org/officeDocument/2006/relationships/hyperlink" Target="https://mega.nz/file/ad9TnTZB" TargetMode="External"/><Relationship Id="rId118" Type="http://schemas.openxmlformats.org/officeDocument/2006/relationships/hyperlink" Target="https://mega.nz/file/acF1VBza" TargetMode="External"/><Relationship Id="rId119" Type="http://schemas.openxmlformats.org/officeDocument/2006/relationships/hyperlink" Target="https://mega.nz/file/KFdBSC4R" TargetMode="External"/><Relationship Id="rId120" Type="http://schemas.openxmlformats.org/officeDocument/2006/relationships/hyperlink" Target="https://mega.nz/file/DE1hEbIR" TargetMode="External"/><Relationship Id="rId121" Type="http://schemas.openxmlformats.org/officeDocument/2006/relationships/hyperlink" Target="https://mega.nz/file/uE0yXYpK" TargetMode="External"/><Relationship Id="rId122" Type="http://schemas.openxmlformats.org/officeDocument/2006/relationships/hyperlink" Target="https://mega.nz/file/2UFCQZyS" TargetMode="External"/><Relationship Id="rId123" Type="http://schemas.openxmlformats.org/officeDocument/2006/relationships/hyperlink" Target="https://mega.nz/file/bJNjVbob" TargetMode="External"/><Relationship Id="rId124" Type="http://schemas.openxmlformats.org/officeDocument/2006/relationships/hyperlink" Target="https://mega.nz/file/fFUQgaaI" TargetMode="External"/><Relationship Id="rId125" Type="http://schemas.openxmlformats.org/officeDocument/2006/relationships/hyperlink" Target="https://mega.nz/file/TJkSSA7L" TargetMode="External"/><Relationship Id="rId126" Type="http://schemas.openxmlformats.org/officeDocument/2006/relationships/hyperlink" Target="https://mega.nz/file/aQFGDAJK" TargetMode="External"/><Relationship Id="rId127" Type="http://schemas.openxmlformats.org/officeDocument/2006/relationships/hyperlink" Target="https://mega.nz/file/LcsgEZgI" TargetMode="External"/><Relationship Id="rId128" Type="http://schemas.openxmlformats.org/officeDocument/2006/relationships/hyperlink" Target="https://mega.nz/file/rV8SjABI" TargetMode="External"/><Relationship Id="rId129" Type="http://schemas.openxmlformats.org/officeDocument/2006/relationships/hyperlink" Target="https://mega.nz/file/qcdmQTKa" TargetMode="External"/><Relationship Id="rId130" Type="http://schemas.openxmlformats.org/officeDocument/2006/relationships/hyperlink" Target="https://mega.nz/file/OUdhhKAS" TargetMode="External"/><Relationship Id="rId131" Type="http://schemas.openxmlformats.org/officeDocument/2006/relationships/hyperlink" Target="https://mega.nz/file/qZNHHZAI" TargetMode="External"/><Relationship Id="rId132" Type="http://schemas.openxmlformats.org/officeDocument/2006/relationships/hyperlink" Target="https://mega.nz/file/vBFljBZR" TargetMode="External"/><Relationship Id="rId133" Type="http://schemas.openxmlformats.org/officeDocument/2006/relationships/hyperlink" Target="https://mega.nz/file/TM8QCIhT" TargetMode="External"/><Relationship Id="rId134" Type="http://schemas.openxmlformats.org/officeDocument/2006/relationships/hyperlink" Target="https://mega.nz/file/HU9llIJD" TargetMode="External"/><Relationship Id="rId135" Type="http://schemas.openxmlformats.org/officeDocument/2006/relationships/hyperlink" Target="https://mega.nz/file/HV9iVQ6C" TargetMode="External"/><Relationship Id="rId136" Type="http://schemas.openxmlformats.org/officeDocument/2006/relationships/hyperlink" Target="https://mega.nz/file/TR0BgTxC" TargetMode="External"/><Relationship Id="rId137" Type="http://schemas.openxmlformats.org/officeDocument/2006/relationships/hyperlink" Target="https://mega.nz/file/aR9XnarT" TargetMode="External"/><Relationship Id="rId138" Type="http://schemas.openxmlformats.org/officeDocument/2006/relationships/hyperlink" Target="https://mega.nz/file/TJdADa6B" TargetMode="External"/><Relationship Id="rId139" Type="http://schemas.openxmlformats.org/officeDocument/2006/relationships/hyperlink" Target="https://mega.nz/file/rNdxCb5J" TargetMode="External"/><Relationship Id="rId140" Type="http://schemas.openxmlformats.org/officeDocument/2006/relationships/hyperlink" Target="https://mega.nz/file/6IVTXRaJ" TargetMode="External"/><Relationship Id="rId141" Type="http://schemas.openxmlformats.org/officeDocument/2006/relationships/hyperlink" Target="https://mega.nz/file/mEkn3YqD" TargetMode="External"/><Relationship Id="rId142" Type="http://schemas.openxmlformats.org/officeDocument/2006/relationships/hyperlink" Target="https://mega.nz/file/uJNGlD5C" TargetMode="External"/><Relationship Id="rId143" Type="http://schemas.openxmlformats.org/officeDocument/2006/relationships/hyperlink" Target="https://mega.nz/file/DVUCCJYI" TargetMode="External"/><Relationship Id="rId144" Type="http://schemas.openxmlformats.org/officeDocument/2006/relationships/hyperlink" Target="https://mega.nz/file/DclikBgY" TargetMode="External"/><Relationship Id="rId145" Type="http://schemas.openxmlformats.org/officeDocument/2006/relationships/hyperlink" Target="https://mega.nz/file/eV8izTRa" TargetMode="External"/><Relationship Id="rId146" Type="http://schemas.openxmlformats.org/officeDocument/2006/relationships/hyperlink" Target="https://mega.nz/file/rVFQCbDY" TargetMode="External"/><Relationship Id="rId147" Type="http://schemas.openxmlformats.org/officeDocument/2006/relationships/hyperlink" Target="https://mega.nz/file/vEFVFQAb" TargetMode="External"/><Relationship Id="rId148" Type="http://schemas.openxmlformats.org/officeDocument/2006/relationships/hyperlink" Target="https://mega.nz/file/HI0hhbLZ" TargetMode="External"/><Relationship Id="rId149" Type="http://schemas.openxmlformats.org/officeDocument/2006/relationships/hyperlink" Target="https://mega.nz/file/3F1xjLSa" TargetMode="External"/><Relationship Id="rId150" Type="http://schemas.openxmlformats.org/officeDocument/2006/relationships/hyperlink" Target="https://mega.nz/file/7RcnQTIJ" TargetMode="External"/><Relationship Id="rId151" Type="http://schemas.openxmlformats.org/officeDocument/2006/relationships/hyperlink" Target="https://mega.nz/file/XElBhIhQ" TargetMode="External"/><Relationship Id="rId152" Type="http://schemas.openxmlformats.org/officeDocument/2006/relationships/hyperlink" Target="https://mega.nz/file/jBFF2LKR" TargetMode="External"/><Relationship Id="rId153" Type="http://schemas.openxmlformats.org/officeDocument/2006/relationships/hyperlink" Target="https://mega.nz/file/qIEEyTSA" TargetMode="External"/><Relationship Id="rId154" Type="http://schemas.openxmlformats.org/officeDocument/2006/relationships/hyperlink" Target="https://mega.nz/file/WJFiGDRL" TargetMode="External"/><Relationship Id="rId155" Type="http://schemas.openxmlformats.org/officeDocument/2006/relationships/hyperlink" Target="https://mega.nz/file/DBFkVRiK" TargetMode="External"/><Relationship Id="rId156" Type="http://schemas.openxmlformats.org/officeDocument/2006/relationships/hyperlink" Target="https://mega.nz/file/6JEFyYpB" TargetMode="External"/><Relationship Id="rId157" Type="http://schemas.openxmlformats.org/officeDocument/2006/relationships/hyperlink" Target="https://mega.nz/file/7V0GnZhT" TargetMode="External"/><Relationship Id="rId158" Type="http://schemas.openxmlformats.org/officeDocument/2006/relationships/hyperlink" Target="https://mega.nz/file/CBMEELpC" TargetMode="External"/><Relationship Id="rId159" Type="http://schemas.openxmlformats.org/officeDocument/2006/relationships/hyperlink" Target="https://mega.nz/file/GBVCFJKZ" TargetMode="External"/><Relationship Id="rId160" Type="http://schemas.openxmlformats.org/officeDocument/2006/relationships/hyperlink" Target="https://mega.nz/file/vAE30AgR" TargetMode="External"/><Relationship Id="rId161" Type="http://schemas.openxmlformats.org/officeDocument/2006/relationships/hyperlink" Target="https://mega.nz/file/WMVkWIzK" TargetMode="External"/><Relationship Id="rId162" Type="http://schemas.openxmlformats.org/officeDocument/2006/relationships/hyperlink" Target="https://mega.nz/file/SRswRSYR" TargetMode="External"/><Relationship Id="rId163" Type="http://schemas.openxmlformats.org/officeDocument/2006/relationships/hyperlink" Target="https://mega.nz/file/rckCwDCA" TargetMode="External"/><Relationship Id="rId164" Type="http://schemas.openxmlformats.org/officeDocument/2006/relationships/hyperlink" Target="https://mega.nz/file/jYd2WIyL" TargetMode="External"/><Relationship Id="rId165" Type="http://schemas.openxmlformats.org/officeDocument/2006/relationships/hyperlink" Target="https://mega.nz/file/yc9BgYYa" TargetMode="External"/><Relationship Id="rId166" Type="http://schemas.openxmlformats.org/officeDocument/2006/relationships/hyperlink" Target="https://mega.nz/file/LM9CXTab" TargetMode="External"/><Relationship Id="rId167" Type="http://schemas.openxmlformats.org/officeDocument/2006/relationships/hyperlink" Target="https://mega.nz/file/fAFHnJiA" TargetMode="External"/><Relationship Id="rId168" Type="http://schemas.openxmlformats.org/officeDocument/2006/relationships/hyperlink" Target="https://mega.nz/file/iU1FmDKR" TargetMode="External"/><Relationship Id="rId169" Type="http://schemas.openxmlformats.org/officeDocument/2006/relationships/hyperlink" Target="https://mega.nz/file/ad1EwKQS" TargetMode="External"/><Relationship Id="rId170" Type="http://schemas.openxmlformats.org/officeDocument/2006/relationships/hyperlink" Target="https://mega.nz/file/aUE1SLoY" TargetMode="External"/><Relationship Id="rId171" Type="http://schemas.openxmlformats.org/officeDocument/2006/relationships/hyperlink" Target="https://mega.nz/file/Wd1iwDpB" TargetMode="External"/><Relationship Id="rId172" Type="http://schemas.openxmlformats.org/officeDocument/2006/relationships/hyperlink" Target="https://mega.nz/file/iBMERTKb" TargetMode="External"/><Relationship Id="rId173" Type="http://schemas.openxmlformats.org/officeDocument/2006/relationships/hyperlink" Target="https://mega.nz/file/DNtmjSbQ" TargetMode="External"/><Relationship Id="rId174" Type="http://schemas.openxmlformats.org/officeDocument/2006/relationships/hyperlink" Target="https://mega.nz/file/aNUHzDpb" TargetMode="External"/><Relationship Id="rId175" Type="http://schemas.openxmlformats.org/officeDocument/2006/relationships/hyperlink" Target="https://mega.nz/file/jVtwkRxK" TargetMode="External"/><Relationship Id="rId176" Type="http://schemas.openxmlformats.org/officeDocument/2006/relationships/hyperlink" Target="https://mega.nz/file/fEcTjQQK" TargetMode="External"/><Relationship Id="rId177" Type="http://schemas.openxmlformats.org/officeDocument/2006/relationships/hyperlink" Target="https://mega.nz/file/PFM1gApK" TargetMode="External"/><Relationship Id="rId178" Type="http://schemas.openxmlformats.org/officeDocument/2006/relationships/hyperlink" Target="https://mega.nz/file/CRljySCK" TargetMode="External"/><Relationship Id="rId179" Type="http://schemas.openxmlformats.org/officeDocument/2006/relationships/hyperlink" Target="https://mega.nz/file/bFsRQBqK" TargetMode="External"/><Relationship Id="rId180" Type="http://schemas.openxmlformats.org/officeDocument/2006/relationships/hyperlink" Target="https://mega.nz/file/GZVhnbAL" TargetMode="External"/><Relationship Id="rId181" Type="http://schemas.openxmlformats.org/officeDocument/2006/relationships/hyperlink" Target="https://mega.nz/file/HEtxWTKR" TargetMode="External"/><Relationship Id="rId182" Type="http://schemas.openxmlformats.org/officeDocument/2006/relationships/hyperlink" Target="https://mega.nz/file/aVdVkRob" TargetMode="External"/><Relationship Id="rId183" Type="http://schemas.openxmlformats.org/officeDocument/2006/relationships/hyperlink" Target="https://mega.nz/file/LBkgBIDA" TargetMode="External"/><Relationship Id="rId184" Type="http://schemas.openxmlformats.org/officeDocument/2006/relationships/hyperlink" Target="https://mega.nz/file/3VshTKLZ" TargetMode="External"/><Relationship Id="rId185" Type="http://schemas.openxmlformats.org/officeDocument/2006/relationships/hyperlink" Target="https://mega.nz/file/GV8n3LrB" TargetMode="External"/><Relationship Id="rId186" Type="http://schemas.openxmlformats.org/officeDocument/2006/relationships/hyperlink" Target="https://mega.nz/file/uNcXzbSJ" TargetMode="External"/><Relationship Id="rId187" Type="http://schemas.openxmlformats.org/officeDocument/2006/relationships/hyperlink" Target="https://mega.nz/file/nd9U0ZLJ" TargetMode="External"/><Relationship Id="rId188" Type="http://schemas.openxmlformats.org/officeDocument/2006/relationships/hyperlink" Target="https://mega.nz/file/OQMBjZZC" TargetMode="External"/><Relationship Id="rId189" Type="http://schemas.openxmlformats.org/officeDocument/2006/relationships/hyperlink" Target="https://mega.nz/file/bM0xxCRB" TargetMode="External"/><Relationship Id="rId190" Type="http://schemas.openxmlformats.org/officeDocument/2006/relationships/hyperlink" Target="https://mega.nz/file/bB9h2TBK" TargetMode="External"/><Relationship Id="rId191" Type="http://schemas.openxmlformats.org/officeDocument/2006/relationships/hyperlink" Target="https://mega.nz/file/SZFygSib" TargetMode="External"/><Relationship Id="rId192" Type="http://schemas.openxmlformats.org/officeDocument/2006/relationships/hyperlink" Target="https://mega.nz/file/rdkWiD7T" TargetMode="External"/><Relationship Id="rId193" Type="http://schemas.openxmlformats.org/officeDocument/2006/relationships/hyperlink" Target="https://mega.nz/file/jctDnTyB" TargetMode="External"/><Relationship Id="rId194" Type="http://schemas.openxmlformats.org/officeDocument/2006/relationships/hyperlink" Target="https://mega.nz/file/3YUBBaIb" TargetMode="External"/><Relationship Id="rId195" Type="http://schemas.openxmlformats.org/officeDocument/2006/relationships/hyperlink" Target="https://mega.nz/file/nMFjlAhT" TargetMode="External"/><Relationship Id="rId196" Type="http://schemas.openxmlformats.org/officeDocument/2006/relationships/hyperlink" Target="https://mega.nz/file/OQFTQbxa" TargetMode="External"/><Relationship Id="rId197" Type="http://schemas.openxmlformats.org/officeDocument/2006/relationships/hyperlink" Target="https://mega.nz/file/PAVFEZoY" TargetMode="External"/><Relationship Id="rId198" Type="http://schemas.openxmlformats.org/officeDocument/2006/relationships/hyperlink" Target="https://mega.nz/file/TJtW1b7K" TargetMode="External"/><Relationship Id="rId199" Type="http://schemas.openxmlformats.org/officeDocument/2006/relationships/hyperlink" Target="https://mega.nz/file/bd9g0LJS" TargetMode="External"/><Relationship Id="rId200" Type="http://schemas.openxmlformats.org/officeDocument/2006/relationships/hyperlink" Target="https://mega.nz/file/zNk0RRBD" TargetMode="External"/><Relationship Id="rId201" Type="http://schemas.openxmlformats.org/officeDocument/2006/relationships/hyperlink" Target="https://mega.nz/file/PI9khaYQ" TargetMode="External"/><Relationship Id="rId202" Type="http://schemas.openxmlformats.org/officeDocument/2006/relationships/hyperlink" Target="https://mega.nz/file/eZtx3BjI" TargetMode="External"/><Relationship Id="rId203" Type="http://schemas.openxmlformats.org/officeDocument/2006/relationships/hyperlink" Target="https://mega.nz/file/DR9FEQKR" TargetMode="External"/><Relationship Id="rId204" Type="http://schemas.openxmlformats.org/officeDocument/2006/relationships/hyperlink" Target="https://mega.nz/file/KZ9zRAYJ" TargetMode="External"/><Relationship Id="rId205" Type="http://schemas.openxmlformats.org/officeDocument/2006/relationships/hyperlink" Target="https://mega.nz/file/2AtC1bhQ" TargetMode="External"/><Relationship Id="rId206" Type="http://schemas.openxmlformats.org/officeDocument/2006/relationships/hyperlink" Target="https://mega.nz/file/fcM11bbC" TargetMode="External"/><Relationship Id="rId207" Type="http://schemas.openxmlformats.org/officeDocument/2006/relationships/hyperlink" Target="https://mega.nz/file/HB1QQTxJ" TargetMode="External"/><Relationship Id="rId208" Type="http://schemas.openxmlformats.org/officeDocument/2006/relationships/hyperlink" Target="https://mega.nz/file/uYcTUJSQ" TargetMode="External"/><Relationship Id="rId209" Type="http://schemas.openxmlformats.org/officeDocument/2006/relationships/hyperlink" Target="https://mega.nz/file/SQMUUDqD" TargetMode="External"/><Relationship Id="rId210" Type="http://schemas.openxmlformats.org/officeDocument/2006/relationships/hyperlink" Target="https://mega.nz/file/rAcS2AQQ" TargetMode="External"/><Relationship Id="rId211" Type="http://schemas.openxmlformats.org/officeDocument/2006/relationships/hyperlink" Target="https://mega.nz/file/iJdBBYqZ" TargetMode="External"/><Relationship Id="rId212" Type="http://schemas.openxmlformats.org/officeDocument/2006/relationships/hyperlink" Target="https://mega.nz/file/aVcAya5D" TargetMode="External"/><Relationship Id="rId213" Type="http://schemas.openxmlformats.org/officeDocument/2006/relationships/hyperlink" Target="https://mega.nz/file/KBlmHB5Q" TargetMode="External"/><Relationship Id="rId214" Type="http://schemas.openxmlformats.org/officeDocument/2006/relationships/hyperlink" Target="https://mega.nz/file/CJUxlIgD" TargetMode="External"/><Relationship Id="rId215" Type="http://schemas.openxmlformats.org/officeDocument/2006/relationships/hyperlink" Target="https://mega.nz/file/yF9WyCCA" TargetMode="External"/><Relationship Id="rId216" Type="http://schemas.openxmlformats.org/officeDocument/2006/relationships/hyperlink" Target="https://mega.nz/file/nZtDCD4Q" TargetMode="External"/><Relationship Id="rId217" Type="http://schemas.openxmlformats.org/officeDocument/2006/relationships/hyperlink" Target="https://mega.nz/file/idlAmQyC" TargetMode="External"/><Relationship Id="rId218" Type="http://schemas.openxmlformats.org/officeDocument/2006/relationships/hyperlink" Target="https://mega.nz/file/yQlzABbK" TargetMode="External"/><Relationship Id="rId219" Type="http://schemas.openxmlformats.org/officeDocument/2006/relationships/hyperlink" Target="https://mega.nz/file/CR8yWJ7R" TargetMode="External"/><Relationship Id="rId220" Type="http://schemas.openxmlformats.org/officeDocument/2006/relationships/hyperlink" Target="https://mega.nz/file/nBlyGZBL" TargetMode="External"/><Relationship Id="rId221" Type="http://schemas.openxmlformats.org/officeDocument/2006/relationships/hyperlink" Target="https://mega.nz/file/rElDVCwI" TargetMode="External"/><Relationship Id="rId222" Type="http://schemas.openxmlformats.org/officeDocument/2006/relationships/hyperlink" Target="https://mega.nz/file/WFlAUSIY" TargetMode="External"/><Relationship Id="rId223" Type="http://schemas.openxmlformats.org/officeDocument/2006/relationships/hyperlink" Target="https://mega.nz/file/aAlDkAxY" TargetMode="External"/><Relationship Id="rId224" Type="http://schemas.openxmlformats.org/officeDocument/2006/relationships/hyperlink" Target="https://mega.nz/file/bINl0IqA" TargetMode="External"/><Relationship Id="rId225" Type="http://schemas.openxmlformats.org/officeDocument/2006/relationships/hyperlink" Target="https://mega.nz/file/CRt31bCI" TargetMode="External"/><Relationship Id="rId226" Type="http://schemas.openxmlformats.org/officeDocument/2006/relationships/hyperlink" Target="https://mega.nz/file/jQdBBJ6A" TargetMode="External"/><Relationship Id="rId227" Type="http://schemas.openxmlformats.org/officeDocument/2006/relationships/hyperlink" Target="https://mega.nz/file/3FlQSRJK" TargetMode="External"/><Relationship Id="rId228" Type="http://schemas.openxmlformats.org/officeDocument/2006/relationships/hyperlink" Target="https://mega.nz/file/WQ0kmD7B" TargetMode="External"/><Relationship Id="rId229" Type="http://schemas.openxmlformats.org/officeDocument/2006/relationships/hyperlink" Target="https://mega.nz/file/DElC3ShI" TargetMode="External"/><Relationship Id="rId230" Type="http://schemas.openxmlformats.org/officeDocument/2006/relationships/hyperlink" Target="https://mega.nz/file/iMMDXYKK" TargetMode="External"/><Relationship Id="rId231" Type="http://schemas.openxmlformats.org/officeDocument/2006/relationships/hyperlink" Target="https://mega.nz/file/vJclwLBQ" TargetMode="External"/><Relationship Id="rId232" Type="http://schemas.openxmlformats.org/officeDocument/2006/relationships/hyperlink" Target="https://mega.nz/file/PAFmBKhR" TargetMode="External"/><Relationship Id="rId233" Type="http://schemas.openxmlformats.org/officeDocument/2006/relationships/hyperlink" Target="https://mega.nz/file/HI8R3RZD" TargetMode="External"/><Relationship Id="rId234" Type="http://schemas.openxmlformats.org/officeDocument/2006/relationships/hyperlink" Target="https://mega.nz/file/fZdGECJC" TargetMode="External"/><Relationship Id="rId235" Type="http://schemas.openxmlformats.org/officeDocument/2006/relationships/hyperlink" Target="https://mega.nz/file/iU9HQZAZ" TargetMode="External"/><Relationship Id="rId236" Type="http://schemas.openxmlformats.org/officeDocument/2006/relationships/hyperlink" Target="https://mega.nz/file/SUlRVBaC" TargetMode="External"/><Relationship Id="rId237" Type="http://schemas.openxmlformats.org/officeDocument/2006/relationships/hyperlink" Target="https://mega.nz/file/jFcxjbBL" TargetMode="External"/><Relationship Id="rId238" Type="http://schemas.openxmlformats.org/officeDocument/2006/relationships/hyperlink" Target="https://mega.nz/file/fUVSFDxJ" TargetMode="External"/><Relationship Id="rId239" Type="http://schemas.openxmlformats.org/officeDocument/2006/relationships/hyperlink" Target="https://mega.nz/file/vRky2JIb" TargetMode="External"/><Relationship Id="rId240" Type="http://schemas.openxmlformats.org/officeDocument/2006/relationships/hyperlink" Target="https://mega.nz/file/DIE3CLgZ" TargetMode="External"/><Relationship Id="rId241" Type="http://schemas.openxmlformats.org/officeDocument/2006/relationships/hyperlink" Target="https://mega.nz/file/qIdXmCTB" TargetMode="External"/><Relationship Id="rId242" Type="http://schemas.openxmlformats.org/officeDocument/2006/relationships/hyperlink" Target="https://mega.nz/file/PF9TSCDR" TargetMode="External"/><Relationship Id="rId243" Type="http://schemas.openxmlformats.org/officeDocument/2006/relationships/hyperlink" Target="https://mega.nz/file/CYtV3RKL" TargetMode="External"/><Relationship Id="rId244" Type="http://schemas.openxmlformats.org/officeDocument/2006/relationships/hyperlink" Target="https://mega.nz/file/jUFEEQQS" TargetMode="External"/><Relationship Id="rId245" Type="http://schemas.openxmlformats.org/officeDocument/2006/relationships/hyperlink" Target="https://mega.nz/file/PU0VQJjL" TargetMode="External"/><Relationship Id="rId246" Type="http://schemas.openxmlformats.org/officeDocument/2006/relationships/hyperlink" Target="https://mega.nz/file/uc0hRK5T" TargetMode="External"/><Relationship Id="rId247" Type="http://schemas.openxmlformats.org/officeDocument/2006/relationships/hyperlink" Target="https://mega.nz/file/TcMGBYjS" TargetMode="External"/><Relationship Id="rId248" Type="http://schemas.openxmlformats.org/officeDocument/2006/relationships/hyperlink" Target="https://mega.nz/file/aNcRkAjC" TargetMode="External"/><Relationship Id="rId249" Type="http://schemas.openxmlformats.org/officeDocument/2006/relationships/hyperlink" Target="https://mega.nz/file/XZ0FyZBY" TargetMode="External"/><Relationship Id="rId250" Type="http://schemas.openxmlformats.org/officeDocument/2006/relationships/hyperlink" Target="https://mega.nz/file/Hd9W1ZiR" TargetMode="External"/><Relationship Id="rId251" Type="http://schemas.openxmlformats.org/officeDocument/2006/relationships/hyperlink" Target="https://mega.nz/file/aZcTVCqK" TargetMode="External"/><Relationship Id="rId252" Type="http://schemas.openxmlformats.org/officeDocument/2006/relationships/hyperlink" Target="https://mega.nz/file/SUlGSbpZ" TargetMode="External"/><Relationship Id="rId253" Type="http://schemas.openxmlformats.org/officeDocument/2006/relationships/hyperlink" Target="https://mega.nz/file/GV02AZIR" TargetMode="External"/><Relationship Id="rId254" Type="http://schemas.openxmlformats.org/officeDocument/2006/relationships/hyperlink" Target="https://mega.nz/file/aU0VGDIC" TargetMode="External"/><Relationship Id="rId255" Type="http://schemas.openxmlformats.org/officeDocument/2006/relationships/hyperlink" Target="https://mega.nz/file/SBM2kAaL" TargetMode="External"/><Relationship Id="rId256" Type="http://schemas.openxmlformats.org/officeDocument/2006/relationships/hyperlink" Target="https://mega.nz/file/TUcl2Loa" TargetMode="External"/><Relationship Id="rId257" Type="http://schemas.openxmlformats.org/officeDocument/2006/relationships/hyperlink" Target="https://mega.nz/file/CU8iHI5Q" TargetMode="External"/><Relationship Id="rId258" Type="http://schemas.openxmlformats.org/officeDocument/2006/relationships/hyperlink" Target="https://mega.nz/file/fMN3xBKZ" TargetMode="External"/><Relationship Id="rId259" Type="http://schemas.openxmlformats.org/officeDocument/2006/relationships/hyperlink" Target="https://mega.nz/file/XdlRmb7K" TargetMode="External"/><Relationship Id="rId260" Type="http://schemas.openxmlformats.org/officeDocument/2006/relationships/hyperlink" Target="https://mega.nz/file/nNlmgQaL" TargetMode="External"/><Relationship Id="rId261" Type="http://schemas.openxmlformats.org/officeDocument/2006/relationships/hyperlink" Target="https://mega.nz/file/aZ1VFSgK" TargetMode="External"/><Relationship Id="rId262" Type="http://schemas.openxmlformats.org/officeDocument/2006/relationships/hyperlink" Target="https://mega.nz/file/qJ8lgQRK" TargetMode="External"/><Relationship Id="rId263" Type="http://schemas.openxmlformats.org/officeDocument/2006/relationships/hyperlink" Target="https://mega.nz/file/KQdU3QSB" TargetMode="External"/><Relationship Id="rId264" Type="http://schemas.openxmlformats.org/officeDocument/2006/relationships/hyperlink" Target="https://mega.nz/file/CENDCR6I" TargetMode="External"/><Relationship Id="rId265" Type="http://schemas.openxmlformats.org/officeDocument/2006/relationships/hyperlink" Target="https://mega.nz/file/nMUCFaYS" TargetMode="External"/><Relationship Id="rId266" Type="http://schemas.openxmlformats.org/officeDocument/2006/relationships/hyperlink" Target="https://mega.nz/file/yFUT3aCR" TargetMode="External"/><Relationship Id="rId267" Type="http://schemas.openxmlformats.org/officeDocument/2006/relationships/hyperlink" Target="https://mega.nz/file/qYswTCqa" TargetMode="External"/><Relationship Id="rId268" Type="http://schemas.openxmlformats.org/officeDocument/2006/relationships/hyperlink" Target="https://mega.nz/file/6ctlFYCK" TargetMode="External"/><Relationship Id="rId269" Type="http://schemas.openxmlformats.org/officeDocument/2006/relationships/hyperlink" Target="https://mega.nz/file/iAlhET4A" TargetMode="External"/><Relationship Id="rId270" Type="http://schemas.openxmlformats.org/officeDocument/2006/relationships/hyperlink" Target="https://mega.nz/file/KAF2TQLT" TargetMode="External"/><Relationship Id="rId271" Type="http://schemas.openxmlformats.org/officeDocument/2006/relationships/hyperlink" Target="https://mega.nz/file/WBE2jQ6C" TargetMode="External"/><Relationship Id="rId272" Type="http://schemas.openxmlformats.org/officeDocument/2006/relationships/hyperlink" Target="https://mega.nz/file/LdtxGJZa" TargetMode="External"/><Relationship Id="rId273" Type="http://schemas.openxmlformats.org/officeDocument/2006/relationships/hyperlink" Target="https://mega.nz/file/jIVkzBSA" TargetMode="External"/><Relationship Id="rId274" Type="http://schemas.openxmlformats.org/officeDocument/2006/relationships/hyperlink" Target="https://mega.nz/file/PAkCgKIZ" TargetMode="External"/><Relationship Id="rId275" Type="http://schemas.openxmlformats.org/officeDocument/2006/relationships/hyperlink" Target="https://mega.nz/file/2QdABQrI" TargetMode="External"/><Relationship Id="rId276" Type="http://schemas.openxmlformats.org/officeDocument/2006/relationships/hyperlink" Target="https://mega.nz/file/aItyTYDA" TargetMode="External"/><Relationship Id="rId277" Type="http://schemas.openxmlformats.org/officeDocument/2006/relationships/hyperlink" Target="https://mega.nz/file/nEtzHYjY" TargetMode="External"/><Relationship Id="rId278" Type="http://schemas.openxmlformats.org/officeDocument/2006/relationships/hyperlink" Target="https://mega.nz/file/acFzhBqI" TargetMode="External"/><Relationship Id="rId279" Type="http://schemas.openxmlformats.org/officeDocument/2006/relationships/hyperlink" Target="https://mega.nz/file/ad0BAJ5T" TargetMode="External"/><Relationship Id="rId280" Type="http://schemas.openxmlformats.org/officeDocument/2006/relationships/hyperlink" Target="https://mega.nz/file/jR91wKTA" TargetMode="External"/><Relationship Id="rId281" Type="http://schemas.openxmlformats.org/officeDocument/2006/relationships/hyperlink" Target="https://mega.nz/file/LZdllLQA" TargetMode="External"/><Relationship Id="rId282" Type="http://schemas.openxmlformats.org/officeDocument/2006/relationships/hyperlink" Target="https://mega.nz/file/KYtk1JIA" TargetMode="External"/><Relationship Id="rId283" Type="http://schemas.openxmlformats.org/officeDocument/2006/relationships/hyperlink" Target="https://mega.nz/file/eIsyGDrT" TargetMode="External"/><Relationship Id="rId284" Type="http://schemas.openxmlformats.org/officeDocument/2006/relationships/hyperlink" Target="https://mega.nz/file/3ZUyzIjA" TargetMode="External"/><Relationship Id="rId285" Type="http://schemas.openxmlformats.org/officeDocument/2006/relationships/hyperlink" Target="https://mega.nz/file/LUcCEYBa" TargetMode="External"/><Relationship Id="rId286" Type="http://schemas.openxmlformats.org/officeDocument/2006/relationships/hyperlink" Target="https://mega.nz/file/Cd8FlC7T" TargetMode="External"/><Relationship Id="rId287" Type="http://schemas.openxmlformats.org/officeDocument/2006/relationships/hyperlink" Target="https://mega.nz/file/3cUzwaDC" TargetMode="External"/><Relationship Id="rId288" Type="http://schemas.openxmlformats.org/officeDocument/2006/relationships/hyperlink" Target="https://mega.nz/file/SU1gzLIT" TargetMode="External"/><Relationship Id="rId289" Type="http://schemas.openxmlformats.org/officeDocument/2006/relationships/hyperlink" Target="https://mega.nz/file/uVs2XTxR" TargetMode="External"/><Relationship Id="rId290" Type="http://schemas.openxmlformats.org/officeDocument/2006/relationships/hyperlink" Target="https://mega.nz/file/GYMWyY6D" TargetMode="External"/><Relationship Id="rId291" Type="http://schemas.openxmlformats.org/officeDocument/2006/relationships/hyperlink" Target="https://mega.nz/file/eI8H1SCI" TargetMode="External"/><Relationship Id="rId292" Type="http://schemas.openxmlformats.org/officeDocument/2006/relationships/hyperlink" Target="https://mega.nz/file/ecFFQD7B" TargetMode="External"/><Relationship Id="rId293" Type="http://schemas.openxmlformats.org/officeDocument/2006/relationships/hyperlink" Target="https://mega.nz/file/KJUGxbhR" TargetMode="External"/><Relationship Id="rId294" Type="http://schemas.openxmlformats.org/officeDocument/2006/relationships/hyperlink" Target="https://mega.nz/file/TBtF3ajJ" TargetMode="External"/><Relationship Id="rId295" Type="http://schemas.openxmlformats.org/officeDocument/2006/relationships/hyperlink" Target="https://mega.nz/file/yEtnmaha" TargetMode="External"/><Relationship Id="rId296" Type="http://schemas.openxmlformats.org/officeDocument/2006/relationships/hyperlink" Target="https://mega.nz/file/3R10HYhL" TargetMode="External"/><Relationship Id="rId297" Type="http://schemas.openxmlformats.org/officeDocument/2006/relationships/hyperlink" Target="https://mega.nz/file/uAc0hQxC" TargetMode="External"/><Relationship Id="rId298" Type="http://schemas.openxmlformats.org/officeDocument/2006/relationships/hyperlink" Target="https://mega.nz/file/jEVnGCoA" TargetMode="External"/><Relationship Id="rId299" Type="http://schemas.openxmlformats.org/officeDocument/2006/relationships/hyperlink" Target="https://mega.nz/file/nN02xYIR" TargetMode="External"/><Relationship Id="rId300" Type="http://schemas.openxmlformats.org/officeDocument/2006/relationships/hyperlink" Target="https://mega.nz/file/CMMlWSDJ" TargetMode="External"/><Relationship Id="rId301" Type="http://schemas.openxmlformats.org/officeDocument/2006/relationships/hyperlink" Target="https://mega.nz/file/mFNR3BwJ" TargetMode="External"/><Relationship Id="rId302" Type="http://schemas.openxmlformats.org/officeDocument/2006/relationships/hyperlink" Target="https://mega.nz/file/rEFAHALI" TargetMode="External"/><Relationship Id="rId303" Type="http://schemas.openxmlformats.org/officeDocument/2006/relationships/hyperlink" Target="https://mega.nz/file/yQtQELzA" TargetMode="External"/><Relationship Id="rId304" Type="http://schemas.openxmlformats.org/officeDocument/2006/relationships/hyperlink" Target="https://mega.nz/file/SNsjTSwR" TargetMode="External"/><Relationship Id="rId305" Type="http://schemas.openxmlformats.org/officeDocument/2006/relationships/hyperlink" Target="https://mega.nz/file/rd1D2Z4a" TargetMode="External"/><Relationship Id="rId306" Type="http://schemas.openxmlformats.org/officeDocument/2006/relationships/hyperlink" Target="https://mega.nz/file/fV93jLaB" TargetMode="External"/><Relationship Id="rId307" Type="http://schemas.openxmlformats.org/officeDocument/2006/relationships/hyperlink" Target="https://mega.nz/file/TVtVTDiT" TargetMode="External"/><Relationship Id="rId308" Type="http://schemas.openxmlformats.org/officeDocument/2006/relationships/hyperlink" Target="https://mega.nz/file/TBdRCTxC" TargetMode="External"/><Relationship Id="rId309" Type="http://schemas.openxmlformats.org/officeDocument/2006/relationships/hyperlink" Target="https://mega.nz/file/yMdFxS5Y" TargetMode="External"/><Relationship Id="rId310" Type="http://schemas.openxmlformats.org/officeDocument/2006/relationships/hyperlink" Target="https://mega.nz/file/SAFVAKZD" TargetMode="External"/><Relationship Id="rId311" Type="http://schemas.openxmlformats.org/officeDocument/2006/relationships/hyperlink" Target="https://mega.nz/file/KckFEThK" TargetMode="External"/><Relationship Id="rId312" Type="http://schemas.openxmlformats.org/officeDocument/2006/relationships/hyperlink" Target="https://mega.nz/file/yFV1wAAD" TargetMode="External"/><Relationship Id="rId313" Type="http://schemas.openxmlformats.org/officeDocument/2006/relationships/hyperlink" Target="https://mega.nz/file/GZsxzIoL" TargetMode="External"/><Relationship Id="rId314" Type="http://schemas.openxmlformats.org/officeDocument/2006/relationships/hyperlink" Target="https://mega.nz/file/OctjGLbC" TargetMode="External"/><Relationship Id="rId315" Type="http://schemas.openxmlformats.org/officeDocument/2006/relationships/hyperlink" Target="https://mega.nz/file/zBkCVDoA" TargetMode="External"/><Relationship Id="rId316" Type="http://schemas.openxmlformats.org/officeDocument/2006/relationships/hyperlink" Target="https://mega.nz/file/LIEFRB5a" TargetMode="External"/><Relationship Id="rId317" Type="http://schemas.openxmlformats.org/officeDocument/2006/relationships/hyperlink" Target="https://mega.nz/file/adkFSZhI" TargetMode="External"/><Relationship Id="rId318" Type="http://schemas.openxmlformats.org/officeDocument/2006/relationships/hyperlink" Target="https://mega.nz/file/qM1BgSoa" TargetMode="External"/><Relationship Id="rId319" Type="http://schemas.openxmlformats.org/officeDocument/2006/relationships/hyperlink" Target="https://mega.nz/file/PJ8jmR6T" TargetMode="External"/><Relationship Id="rId320" Type="http://schemas.openxmlformats.org/officeDocument/2006/relationships/hyperlink" Target="https://mega.nz/file/Wd0FmJ7K" TargetMode="External"/><Relationship Id="rId321" Type="http://schemas.openxmlformats.org/officeDocument/2006/relationships/hyperlink" Target="https://mega.nz/file/jMFDDBKb" TargetMode="External"/><Relationship Id="rId322" Type="http://schemas.openxmlformats.org/officeDocument/2006/relationships/hyperlink" Target="https://mega.nz/file/jVdAwJrB" TargetMode="External"/><Relationship Id="rId323" Type="http://schemas.openxmlformats.org/officeDocument/2006/relationships/hyperlink" Target="https://mega.nz/file/fBsxzDAI" TargetMode="External"/><Relationship Id="rId324" Type="http://schemas.openxmlformats.org/officeDocument/2006/relationships/hyperlink" Target="https://mega.nz/file/TEd3XSyT" TargetMode="External"/><Relationship Id="rId325" Type="http://schemas.openxmlformats.org/officeDocument/2006/relationships/hyperlink" Target="https://mega.nz/file/OMdjHRqb" TargetMode="External"/><Relationship Id="rId326" Type="http://schemas.openxmlformats.org/officeDocument/2006/relationships/hyperlink" Target="https://mega.nz/file/HFdgxZia" TargetMode="External"/><Relationship Id="rId327" Type="http://schemas.openxmlformats.org/officeDocument/2006/relationships/hyperlink" Target="https://mega.nz/file/KN9hDJ6B" TargetMode="External"/><Relationship Id="rId328" Type="http://schemas.openxmlformats.org/officeDocument/2006/relationships/hyperlink" Target="https://mega.nz/file/6I1hTCzb" TargetMode="External"/><Relationship Id="rId329" Type="http://schemas.openxmlformats.org/officeDocument/2006/relationships/hyperlink" Target="https://mega.nz/file/LEkyiJ4I" TargetMode="External"/><Relationship Id="rId330" Type="http://schemas.openxmlformats.org/officeDocument/2006/relationships/hyperlink" Target="https://mega.nz/file/DFUyGabI" TargetMode="External"/><Relationship Id="rId331" Type="http://schemas.openxmlformats.org/officeDocument/2006/relationships/hyperlink" Target="https://mega.nz/file/PMkVlDZD" TargetMode="External"/><Relationship Id="rId332" Type="http://schemas.openxmlformats.org/officeDocument/2006/relationships/hyperlink" Target="https://mega.nz/file/TA80kYSa" TargetMode="External"/><Relationship Id="rId333" Type="http://schemas.openxmlformats.org/officeDocument/2006/relationships/hyperlink" Target="https://mega.nz/file/mcURDLTA" TargetMode="External"/><Relationship Id="rId334" Type="http://schemas.openxmlformats.org/officeDocument/2006/relationships/hyperlink" Target="https://mega.nz/file/2FlD2ICC" TargetMode="External"/><Relationship Id="rId335" Type="http://schemas.openxmlformats.org/officeDocument/2006/relationships/hyperlink" Target="https://mega.nz/file/7B0yyTwY" TargetMode="External"/><Relationship Id="rId336" Type="http://schemas.openxmlformats.org/officeDocument/2006/relationships/hyperlink" Target="https://mega.nz/file/HA83WSgD" TargetMode="External"/><Relationship Id="rId337" Type="http://schemas.openxmlformats.org/officeDocument/2006/relationships/hyperlink" Target="https://mega.nz/file/ycVjEa4a" TargetMode="External"/><Relationship Id="rId338" Type="http://schemas.openxmlformats.org/officeDocument/2006/relationships/hyperlink" Target="https://mega.nz/file/7VtVwAAD" TargetMode="External"/><Relationship Id="rId339" Type="http://schemas.openxmlformats.org/officeDocument/2006/relationships/hyperlink" Target="https://mega.nz/file/qFcmCQqC" TargetMode="External"/><Relationship Id="rId340" Type="http://schemas.openxmlformats.org/officeDocument/2006/relationships/hyperlink" Target="https://mega.nz/file/2ctiDJaQ" TargetMode="External"/><Relationship Id="rId341" Type="http://schemas.openxmlformats.org/officeDocument/2006/relationships/hyperlink" Target="https://mega.nz/file/HFVSAayS" TargetMode="External"/><Relationship Id="rId342" Type="http://schemas.openxmlformats.org/officeDocument/2006/relationships/hyperlink" Target="https://mega.nz/file/XJM3AA6a" TargetMode="External"/><Relationship Id="rId343" Type="http://schemas.openxmlformats.org/officeDocument/2006/relationships/hyperlink" Target="https://mega.nz/file/jV9jUT7Q" TargetMode="External"/><Relationship Id="rId344" Type="http://schemas.openxmlformats.org/officeDocument/2006/relationships/hyperlink" Target="https://mega.nz/file/eUUlWYbI" TargetMode="External"/><Relationship Id="rId345" Type="http://schemas.openxmlformats.org/officeDocument/2006/relationships/hyperlink" Target="https://mega.nz/file/2I90iL5B" TargetMode="External"/><Relationship Id="rId346" Type="http://schemas.openxmlformats.org/officeDocument/2006/relationships/hyperlink" Target="https://mega.nz/file/vBkhwBiT" TargetMode="External"/><Relationship Id="rId347" Type="http://schemas.openxmlformats.org/officeDocument/2006/relationships/hyperlink" Target="https://mega.nz/file/SNVFDBLL" TargetMode="External"/><Relationship Id="rId348" Type="http://schemas.openxmlformats.org/officeDocument/2006/relationships/hyperlink" Target="https://mega.nz/file/rcEllR4b" TargetMode="External"/><Relationship Id="rId349" Type="http://schemas.openxmlformats.org/officeDocument/2006/relationships/hyperlink" Target="https://mega.nz/file/7Nt1QIpb" TargetMode="External"/><Relationship Id="rId350" Type="http://schemas.openxmlformats.org/officeDocument/2006/relationships/hyperlink" Target="https://mega.nz/file/uFVUBLrT" TargetMode="External"/><Relationship Id="rId351" Type="http://schemas.openxmlformats.org/officeDocument/2006/relationships/hyperlink" Target="https://mega.nz/file/DZMggBjA" TargetMode="External"/><Relationship Id="rId352" Type="http://schemas.openxmlformats.org/officeDocument/2006/relationships/hyperlink" Target="https://mega.nz/file/XBUzhAQY" TargetMode="External"/><Relationship Id="rId353" Type="http://schemas.openxmlformats.org/officeDocument/2006/relationships/hyperlink" Target="https://mega.nz/file/mMtlnR4K" TargetMode="External"/><Relationship Id="rId354" Type="http://schemas.openxmlformats.org/officeDocument/2006/relationships/hyperlink" Target="https://mega.nz/file/7YFWVLBI" TargetMode="External"/><Relationship Id="rId355" Type="http://schemas.openxmlformats.org/officeDocument/2006/relationships/hyperlink" Target="https://mega.nz/file/7Y0HDApA" TargetMode="External"/><Relationship Id="rId356" Type="http://schemas.openxmlformats.org/officeDocument/2006/relationships/hyperlink" Target="https://mega.nz/file/mElhBY5S" TargetMode="External"/><Relationship Id="rId357" Type="http://schemas.openxmlformats.org/officeDocument/2006/relationships/hyperlink" Target="https://mega.nz/file/TFtyWDBS" TargetMode="External"/><Relationship Id="rId358" Type="http://schemas.openxmlformats.org/officeDocument/2006/relationships/hyperlink" Target="https://mega.nz/file/vE1QRBia" TargetMode="External"/><Relationship Id="rId359" Type="http://schemas.openxmlformats.org/officeDocument/2006/relationships/hyperlink" Target="https://mega.nz/file/yA8gRC5K" TargetMode="External"/><Relationship Id="rId360" Type="http://schemas.openxmlformats.org/officeDocument/2006/relationships/hyperlink" Target="https://mega.nz/file/3RUSgA4Z" TargetMode="External"/><Relationship Id="rId361" Type="http://schemas.openxmlformats.org/officeDocument/2006/relationships/hyperlink" Target="https://mega.nz/file/rZ00QTiB" TargetMode="External"/><Relationship Id="rId362" Type="http://schemas.openxmlformats.org/officeDocument/2006/relationships/hyperlink" Target="https://mega.nz/file/7F1xhSqD" TargetMode="External"/><Relationship Id="rId363" Type="http://schemas.openxmlformats.org/officeDocument/2006/relationships/hyperlink" Target="https://mega.nz/file/iUFECDaY" TargetMode="External"/><Relationship Id="rId364" Type="http://schemas.openxmlformats.org/officeDocument/2006/relationships/hyperlink" Target="https://mega.nz/file/qF8xCTDC" TargetMode="External"/><Relationship Id="rId365" Type="http://schemas.openxmlformats.org/officeDocument/2006/relationships/hyperlink" Target="https://mega.nz/file/XV0ngTaY" TargetMode="External"/><Relationship Id="rId366" Type="http://schemas.openxmlformats.org/officeDocument/2006/relationships/hyperlink" Target="https://mega.nz/file/DV8kBSjD" TargetMode="External"/><Relationship Id="rId367" Type="http://schemas.openxmlformats.org/officeDocument/2006/relationships/hyperlink" Target="https://mega.nz/file/TQUgVAjL" TargetMode="External"/><Relationship Id="rId368" Type="http://schemas.openxmlformats.org/officeDocument/2006/relationships/hyperlink" Target="https://mega.nz/file/qJUGCRwa" TargetMode="External"/><Relationship Id="rId369" Type="http://schemas.openxmlformats.org/officeDocument/2006/relationships/hyperlink" Target="https://mega.nz/file/vUdEyTxA" TargetMode="External"/><Relationship Id="rId370" Type="http://schemas.openxmlformats.org/officeDocument/2006/relationships/hyperlink" Target="https://mega.nz/file/XREC2YZa" TargetMode="External"/><Relationship Id="rId371" Type="http://schemas.openxmlformats.org/officeDocument/2006/relationships/hyperlink" Target="https://mega.nz/file/bANCCQCb" TargetMode="External"/><Relationship Id="rId372" Type="http://schemas.openxmlformats.org/officeDocument/2006/relationships/hyperlink" Target="https://mega.nz/file/CUdSUBKC" TargetMode="External"/><Relationship Id="rId373" Type="http://schemas.openxmlformats.org/officeDocument/2006/relationships/hyperlink" Target="https://mega.nz/file/bMMgCZoB" TargetMode="External"/><Relationship Id="rId374" Type="http://schemas.openxmlformats.org/officeDocument/2006/relationships/hyperlink" Target="https://mega.nz/file/jctilDqT" TargetMode="External"/><Relationship Id="rId375" Type="http://schemas.openxmlformats.org/officeDocument/2006/relationships/hyperlink" Target="https://mega.nz/file/iYd2xJYY" TargetMode="External"/><Relationship Id="rId376" Type="http://schemas.openxmlformats.org/officeDocument/2006/relationships/hyperlink" Target="https://mega.nz/file/OZ0hgJrC" TargetMode="External"/><Relationship Id="rId377" Type="http://schemas.openxmlformats.org/officeDocument/2006/relationships/hyperlink" Target="https://mega.nz/file/TRF1iS4Z" TargetMode="External"/><Relationship Id="rId378" Type="http://schemas.openxmlformats.org/officeDocument/2006/relationships/hyperlink" Target="https://mega.nz/file/iFkAXRJR" TargetMode="External"/><Relationship Id="rId379" Type="http://schemas.openxmlformats.org/officeDocument/2006/relationships/hyperlink" Target="https://mega.nz/file/bZ0HlSrK" TargetMode="External"/><Relationship Id="rId380" Type="http://schemas.openxmlformats.org/officeDocument/2006/relationships/hyperlink" Target="https://mega.nz/file/rcU3iRxa" TargetMode="External"/><Relationship Id="rId381" Type="http://schemas.openxmlformats.org/officeDocument/2006/relationships/hyperlink" Target="https://mega.nz/file/2IcgRaqK" TargetMode="External"/><Relationship Id="rId382" Type="http://schemas.openxmlformats.org/officeDocument/2006/relationships/hyperlink" Target="https://mega.nz/file/aJsEgbxK" TargetMode="External"/><Relationship Id="rId383" Type="http://schemas.openxmlformats.org/officeDocument/2006/relationships/hyperlink" Target="https://mega.nz/file/6VlzSKbb" TargetMode="External"/><Relationship Id="rId384" Type="http://schemas.openxmlformats.org/officeDocument/2006/relationships/hyperlink" Target="https://mega.nz/file/fAtBATjb" TargetMode="External"/><Relationship Id="rId385" Type="http://schemas.openxmlformats.org/officeDocument/2006/relationships/hyperlink" Target="https://mega.nz/file/GEcjAQJa" TargetMode="External"/><Relationship Id="rId386" Type="http://schemas.openxmlformats.org/officeDocument/2006/relationships/hyperlink" Target="https://mega.nz/file/mAtSXDjD" TargetMode="External"/><Relationship Id="rId387" Type="http://schemas.openxmlformats.org/officeDocument/2006/relationships/hyperlink" Target="https://mega.nz/file/PBE1GTqA" TargetMode="External"/><Relationship Id="rId388" Type="http://schemas.openxmlformats.org/officeDocument/2006/relationships/hyperlink" Target="https://mega.nz/file/fJMz1Qhb" TargetMode="External"/><Relationship Id="rId389" Type="http://schemas.openxmlformats.org/officeDocument/2006/relationships/hyperlink" Target="https://mega.nz/file/WUE2DbZA" TargetMode="External"/><Relationship Id="rId390" Type="http://schemas.openxmlformats.org/officeDocument/2006/relationships/hyperlink" Target="https://mega.nz/file/7U92wZCK" TargetMode="External"/><Relationship Id="rId391" Type="http://schemas.openxmlformats.org/officeDocument/2006/relationships/hyperlink" Target="https://mega.nz/file/KM8WmRYb" TargetMode="External"/><Relationship Id="rId392" Type="http://schemas.openxmlformats.org/officeDocument/2006/relationships/hyperlink" Target="https://mega.nz/file/uYsCkAxC" TargetMode="External"/><Relationship Id="rId393" Type="http://schemas.openxmlformats.org/officeDocument/2006/relationships/hyperlink" Target="https://mega.nz/file/SNEEjLLS" TargetMode="External"/><Relationship Id="rId394" Type="http://schemas.openxmlformats.org/officeDocument/2006/relationships/hyperlink" Target="https://mega.nz/file/qdcTwJ5T" TargetMode="External"/><Relationship Id="rId395" Type="http://schemas.openxmlformats.org/officeDocument/2006/relationships/hyperlink" Target="https://mega.nz/file/PEN3ybhY" TargetMode="External"/><Relationship Id="rId396" Type="http://schemas.openxmlformats.org/officeDocument/2006/relationships/hyperlink" Target="https://mega.nz/file/SVM11DAI" TargetMode="External"/><Relationship Id="rId397" Type="http://schemas.openxmlformats.org/officeDocument/2006/relationships/hyperlink" Target="https://mega.nz/file/eQtAQCrD" TargetMode="External"/><Relationship Id="rId398" Type="http://schemas.openxmlformats.org/officeDocument/2006/relationships/hyperlink" Target="https://mega.nz/file/DJEiFK7Q" TargetMode="External"/><Relationship Id="rId399" Type="http://schemas.openxmlformats.org/officeDocument/2006/relationships/hyperlink" Target="https://mega.nz/file/nJMzxIgD" TargetMode="External"/><Relationship Id="rId400" Type="http://schemas.openxmlformats.org/officeDocument/2006/relationships/hyperlink" Target="https://mega.nz/file/CAEwjI5Z" TargetMode="External"/><Relationship Id="rId401" Type="http://schemas.openxmlformats.org/officeDocument/2006/relationships/hyperlink" Target="https://mega.nz/file/nMUwCQRI" TargetMode="External"/><Relationship Id="rId402" Type="http://schemas.openxmlformats.org/officeDocument/2006/relationships/hyperlink" Target="https://mega.nz/file/XAV0jCxZ" TargetMode="External"/><Relationship Id="rId403" Type="http://schemas.openxmlformats.org/officeDocument/2006/relationships/hyperlink" Target="https://mega.nz/file/6Qt3WJrI" TargetMode="External"/><Relationship Id="rId404" Type="http://schemas.openxmlformats.org/officeDocument/2006/relationships/hyperlink" Target="https://mega.nz/file/zcMSkAAR" TargetMode="External"/><Relationship Id="rId405" Type="http://schemas.openxmlformats.org/officeDocument/2006/relationships/hyperlink" Target="https://mega.nz/file/iU8QGBpD" TargetMode="External"/><Relationship Id="rId406" Type="http://schemas.openxmlformats.org/officeDocument/2006/relationships/hyperlink" Target="https://mega.nz/file/PEkAlCDA" TargetMode="External"/><Relationship Id="rId407" Type="http://schemas.openxmlformats.org/officeDocument/2006/relationships/hyperlink" Target="https://mega.nz/file/3NVUVYwS" TargetMode="External"/><Relationship Id="rId408" Type="http://schemas.openxmlformats.org/officeDocument/2006/relationships/hyperlink" Target="https://mega.nz/file/nUkxFKCR" TargetMode="External"/><Relationship Id="rId409" Type="http://schemas.openxmlformats.org/officeDocument/2006/relationships/hyperlink" Target="https://mega.nz/file/uQsFhSIK" TargetMode="External"/><Relationship Id="rId410" Type="http://schemas.openxmlformats.org/officeDocument/2006/relationships/hyperlink" Target="https://mega.nz/file/CcF3CaDY" TargetMode="External"/><Relationship Id="rId411" Type="http://schemas.openxmlformats.org/officeDocument/2006/relationships/hyperlink" Target="https://mega.nz/file/fNVVxCbA" TargetMode="External"/><Relationship Id="rId412" Type="http://schemas.openxmlformats.org/officeDocument/2006/relationships/hyperlink" Target="https://mega.nz/file/ncczFRqS" TargetMode="External"/><Relationship Id="rId413" Type="http://schemas.openxmlformats.org/officeDocument/2006/relationships/hyperlink" Target="https://mega.nz/file/XdkjTSAA" TargetMode="External"/><Relationship Id="rId414" Type="http://schemas.openxmlformats.org/officeDocument/2006/relationships/hyperlink" Target="https://mega.nz/file/LE8zWSTB" TargetMode="External"/><Relationship Id="rId415" Type="http://schemas.openxmlformats.org/officeDocument/2006/relationships/hyperlink" Target="https://mega.nz/file/PZFUFAjL" TargetMode="External"/><Relationship Id="rId416" Type="http://schemas.openxmlformats.org/officeDocument/2006/relationships/hyperlink" Target="https://mega.nz/file/jU8xXLSI" TargetMode="External"/><Relationship Id="rId417" Type="http://schemas.openxmlformats.org/officeDocument/2006/relationships/hyperlink" Target="https://mega.nz/file/bR91yKyC" TargetMode="External"/><Relationship Id="rId418" Type="http://schemas.openxmlformats.org/officeDocument/2006/relationships/hyperlink" Target="https://mega.nz/file/PME1wJyS" TargetMode="External"/><Relationship Id="rId419" Type="http://schemas.openxmlformats.org/officeDocument/2006/relationships/hyperlink" Target="https://mega.nz/file/ud9mHSjJ" TargetMode="External"/><Relationship Id="rId420" Type="http://schemas.openxmlformats.org/officeDocument/2006/relationships/hyperlink" Target="https://mega.nz/file/OJtxkZjT" TargetMode="External"/><Relationship Id="rId421" Type="http://schemas.openxmlformats.org/officeDocument/2006/relationships/hyperlink" Target="https://mega.nz/file/yEcigS6L" TargetMode="External"/><Relationship Id="rId422" Type="http://schemas.openxmlformats.org/officeDocument/2006/relationships/hyperlink" Target="https://mega.nz/file/TUcx3LxR" TargetMode="External"/><Relationship Id="rId423" Type="http://schemas.openxmlformats.org/officeDocument/2006/relationships/hyperlink" Target="https://mega.nz/file/2dd3mZQa" TargetMode="External"/><Relationship Id="rId424" Type="http://schemas.openxmlformats.org/officeDocument/2006/relationships/hyperlink" Target="https://mega.nz/file/3AkExB6Y" TargetMode="External"/><Relationship Id="rId425" Type="http://schemas.openxmlformats.org/officeDocument/2006/relationships/hyperlink" Target="https://mega.nz/file/3I8ADRSS" TargetMode="External"/><Relationship Id="rId426" Type="http://schemas.openxmlformats.org/officeDocument/2006/relationships/hyperlink" Target="https://mega.nz/file/HQME0ZIQ" TargetMode="External"/><Relationship Id="rId427" Type="http://schemas.openxmlformats.org/officeDocument/2006/relationships/hyperlink" Target="https://mega.nz/file/iM0wmZoJ" TargetMode="External"/><Relationship Id="rId428" Type="http://schemas.openxmlformats.org/officeDocument/2006/relationships/hyperlink" Target="https://mega.nz/file/yE0xHRJJ" TargetMode="External"/><Relationship Id="rId429" Type="http://schemas.openxmlformats.org/officeDocument/2006/relationships/hyperlink" Target="https://mega.nz/file/SFlk2KjC" TargetMode="External"/><Relationship Id="rId430" Type="http://schemas.openxmlformats.org/officeDocument/2006/relationships/hyperlink" Target="https://mega.nz/file/ndUCzYaa" TargetMode="External"/><Relationship Id="rId431" Type="http://schemas.openxmlformats.org/officeDocument/2006/relationships/hyperlink" Target="https://mega.nz/file/yIshTYhJ" TargetMode="External"/><Relationship Id="rId432" Type="http://schemas.openxmlformats.org/officeDocument/2006/relationships/hyperlink" Target="https://mega.nz/file/WId2BR7C" TargetMode="External"/><Relationship Id="rId433" Type="http://schemas.openxmlformats.org/officeDocument/2006/relationships/hyperlink" Target="https://mega.nz/file/3AdmFKoR" TargetMode="External"/><Relationship Id="rId434" Type="http://schemas.openxmlformats.org/officeDocument/2006/relationships/hyperlink" Target="https://mega.nz/file/7BEF0ACa" TargetMode="External"/><Relationship Id="rId435" Type="http://schemas.openxmlformats.org/officeDocument/2006/relationships/hyperlink" Target="https://mega.nz/file/iY9hWZrC" TargetMode="External"/><Relationship Id="rId436" Type="http://schemas.openxmlformats.org/officeDocument/2006/relationships/hyperlink" Target="https://mega.nz/file/6UMkjDLA" TargetMode="External"/><Relationship Id="rId437" Type="http://schemas.openxmlformats.org/officeDocument/2006/relationships/hyperlink" Target="https://mega.nz/file/vBckQBBB" TargetMode="External"/><Relationship Id="rId438" Type="http://schemas.openxmlformats.org/officeDocument/2006/relationships/hyperlink" Target="https://mega.nz/file/fUNAmArS" TargetMode="External"/><Relationship Id="rId439" Type="http://schemas.openxmlformats.org/officeDocument/2006/relationships/hyperlink" Target="https://mega.nz/file/6UcGDBpJ" TargetMode="External"/><Relationship Id="rId440" Type="http://schemas.openxmlformats.org/officeDocument/2006/relationships/hyperlink" Target="https://mega.nz/file/udFxnAZJ" TargetMode="External"/><Relationship Id="rId441" Type="http://schemas.openxmlformats.org/officeDocument/2006/relationships/hyperlink" Target="https://mega.nz/file/WB8AzZBD" TargetMode="External"/><Relationship Id="rId442" Type="http://schemas.openxmlformats.org/officeDocument/2006/relationships/hyperlink" Target="https://mega.nz/file/CUsCgDaA" TargetMode="External"/><Relationship Id="rId443" Type="http://schemas.openxmlformats.org/officeDocument/2006/relationships/hyperlink" Target="https://mega.nz/file/bId0BRzQ" TargetMode="External"/><Relationship Id="rId444" Type="http://schemas.openxmlformats.org/officeDocument/2006/relationships/hyperlink" Target="https://mega.nz/file/SRNjjYzL" TargetMode="External"/><Relationship Id="rId445" Type="http://schemas.openxmlformats.org/officeDocument/2006/relationships/hyperlink" Target="https://mega.nz/file/TFtRhbqR" TargetMode="External"/><Relationship Id="rId446" Type="http://schemas.openxmlformats.org/officeDocument/2006/relationships/hyperlink" Target="https://mega.nz/file/3NthnIwT" TargetMode="External"/><Relationship Id="rId447" Type="http://schemas.openxmlformats.org/officeDocument/2006/relationships/hyperlink" Target="https://mega.nz/file/CA9lACqS" TargetMode="External"/><Relationship Id="rId448" Type="http://schemas.openxmlformats.org/officeDocument/2006/relationships/hyperlink" Target="https://mega.nz/file/PdcShaqZ" TargetMode="External"/><Relationship Id="rId449" Type="http://schemas.openxmlformats.org/officeDocument/2006/relationships/hyperlink" Target="https://mega.nz/file/TUUmGS4L" TargetMode="External"/><Relationship Id="rId450" Type="http://schemas.openxmlformats.org/officeDocument/2006/relationships/hyperlink" Target="https://mega.nz/file/ncU0nLZJ" TargetMode="External"/><Relationship Id="rId451" Type="http://schemas.openxmlformats.org/officeDocument/2006/relationships/hyperlink" Target="https://mega.nz/file/DctAUALY" TargetMode="External"/><Relationship Id="rId452" Type="http://schemas.openxmlformats.org/officeDocument/2006/relationships/hyperlink" Target="https://mega.nz/file/XYtywITa" TargetMode="External"/><Relationship Id="rId453" Type="http://schemas.openxmlformats.org/officeDocument/2006/relationships/hyperlink" Target="https://mega.nz/file/CYtwCY6b" TargetMode="External"/><Relationship Id="rId454" Type="http://schemas.openxmlformats.org/officeDocument/2006/relationships/hyperlink" Target="https://mega.nz/file/mE80BApZ" TargetMode="External"/><Relationship Id="rId455" Type="http://schemas.openxmlformats.org/officeDocument/2006/relationships/hyperlink" Target="https://mega.nz/file/vdkQDZ6Q" TargetMode="External"/><Relationship Id="rId456" Type="http://schemas.openxmlformats.org/officeDocument/2006/relationships/hyperlink" Target="https://mega.nz/file/SJkkmDxB" TargetMode="External"/><Relationship Id="rId457" Type="http://schemas.openxmlformats.org/officeDocument/2006/relationships/hyperlink" Target="https://mega.nz/file/7JtDQL4C" TargetMode="External"/><Relationship Id="rId458" Type="http://schemas.openxmlformats.org/officeDocument/2006/relationships/hyperlink" Target="https://mega.nz/file/aA8DwKSa" TargetMode="External"/><Relationship Id="rId459" Type="http://schemas.openxmlformats.org/officeDocument/2006/relationships/hyperlink" Target="https://mega.nz/file/WB0kDZhZ" TargetMode="External"/><Relationship Id="rId460" Type="http://schemas.openxmlformats.org/officeDocument/2006/relationships/hyperlink" Target="https://mega.nz/file/uAlSABTR" TargetMode="External"/><Relationship Id="rId461" Type="http://schemas.openxmlformats.org/officeDocument/2006/relationships/hyperlink" Target="https://mega.nz/file/nUEQEaAA" TargetMode="External"/><Relationship Id="rId462" Type="http://schemas.openxmlformats.org/officeDocument/2006/relationships/hyperlink" Target="https://mega.nz/file/fdd3jBLa" TargetMode="External"/><Relationship Id="rId463" Type="http://schemas.openxmlformats.org/officeDocument/2006/relationships/hyperlink" Target="https://mega.nz/file/WZkRTSpD" TargetMode="External"/><Relationship Id="rId464" Type="http://schemas.openxmlformats.org/officeDocument/2006/relationships/hyperlink" Target="https://mega.nz/file/bF00HKpQ" TargetMode="External"/><Relationship Id="rId465" Type="http://schemas.openxmlformats.org/officeDocument/2006/relationships/hyperlink" Target="https://mega.nz/file/zB9SESyQ" TargetMode="External"/><Relationship Id="rId466" Type="http://schemas.openxmlformats.org/officeDocument/2006/relationships/hyperlink" Target="https://mega.nz/file/uNt11YZT" TargetMode="External"/><Relationship Id="rId467" Type="http://schemas.openxmlformats.org/officeDocument/2006/relationships/hyperlink" Target="https://mega.nz/file/HQsQSA5T" TargetMode="External"/><Relationship Id="rId468" Type="http://schemas.openxmlformats.org/officeDocument/2006/relationships/hyperlink" Target="https://mega.nz/file/aB80ARyY" TargetMode="External"/><Relationship Id="rId469" Type="http://schemas.openxmlformats.org/officeDocument/2006/relationships/hyperlink" Target="https://mega.nz/file/ncUhWDAT" TargetMode="External"/><Relationship Id="rId470" Type="http://schemas.openxmlformats.org/officeDocument/2006/relationships/hyperlink" Target="https://mega.nz/file/GJ8WGKIY" TargetMode="External"/><Relationship Id="rId471" Type="http://schemas.openxmlformats.org/officeDocument/2006/relationships/hyperlink" Target="https://mega.nz/file/bNFwHZyZ" TargetMode="External"/><Relationship Id="rId472" Type="http://schemas.openxmlformats.org/officeDocument/2006/relationships/hyperlink" Target="https://mega.nz/file/DdEHRRiZ" TargetMode="External"/><Relationship Id="rId473" Type="http://schemas.openxmlformats.org/officeDocument/2006/relationships/hyperlink" Target="https://mega.nz/file/uMlwXIga" TargetMode="External"/><Relationship Id="rId474" Type="http://schemas.openxmlformats.org/officeDocument/2006/relationships/hyperlink" Target="https://mega.nz/file/6FtlSb6T" TargetMode="External"/><Relationship Id="rId475" Type="http://schemas.openxmlformats.org/officeDocument/2006/relationships/hyperlink" Target="https://mega.nz/file/WEEzBTxa" TargetMode="External"/><Relationship Id="rId476" Type="http://schemas.openxmlformats.org/officeDocument/2006/relationships/hyperlink" Target="https://mega.nz/file/2MMkxDQT" TargetMode="External"/><Relationship Id="rId477" Type="http://schemas.openxmlformats.org/officeDocument/2006/relationships/hyperlink" Target="https://mega.nz/file/6E0DAZpZ" TargetMode="External"/><Relationship Id="rId478" Type="http://schemas.openxmlformats.org/officeDocument/2006/relationships/hyperlink" Target="https://mega.nz/file/Gc0k0arb" TargetMode="External"/><Relationship Id="rId479" Type="http://schemas.openxmlformats.org/officeDocument/2006/relationships/hyperlink" Target="https://mega.nz/file/Xckg1SpQ" TargetMode="External"/><Relationship Id="rId480" Type="http://schemas.openxmlformats.org/officeDocument/2006/relationships/hyperlink" Target="https://mega.nz/file/PYESmTZL" TargetMode="External"/><Relationship Id="rId481" Type="http://schemas.openxmlformats.org/officeDocument/2006/relationships/hyperlink" Target="https://mega.nz/file/CUtA2TiI" TargetMode="External"/><Relationship Id="rId482" Type="http://schemas.openxmlformats.org/officeDocument/2006/relationships/hyperlink" Target="https://mega.nz/file/uMNDQAJQ" TargetMode="External"/><Relationship Id="rId483" Type="http://schemas.openxmlformats.org/officeDocument/2006/relationships/hyperlink" Target="https://mega.nz/file/3JliiaIQ" TargetMode="External"/><Relationship Id="rId484" Type="http://schemas.openxmlformats.org/officeDocument/2006/relationships/hyperlink" Target="https://mega.nz/file/6YEzyBKI" TargetMode="External"/><Relationship Id="rId485" Type="http://schemas.openxmlformats.org/officeDocument/2006/relationships/hyperlink" Target="https://mega.nz/file/KQVRHZYB" TargetMode="External"/><Relationship Id="rId486" Type="http://schemas.openxmlformats.org/officeDocument/2006/relationships/hyperlink" Target="https://mega.nz/file/iVdD1KjI" TargetMode="External"/><Relationship Id="rId487" Type="http://schemas.openxmlformats.org/officeDocument/2006/relationships/hyperlink" Target="https://mega.nz/file/SAVnnKQJ" TargetMode="External"/><Relationship Id="rId488" Type="http://schemas.openxmlformats.org/officeDocument/2006/relationships/hyperlink" Target="https://mega.nz/file/zJkwGbgJ" TargetMode="External"/><Relationship Id="rId489" Type="http://schemas.openxmlformats.org/officeDocument/2006/relationships/hyperlink" Target="https://mega.nz/file/XBkClJxR" TargetMode="External"/><Relationship Id="rId490" Type="http://schemas.openxmlformats.org/officeDocument/2006/relationships/hyperlink" Target="https://mega.nz/file/fdE1iBCZ" TargetMode="External"/><Relationship Id="rId491" Type="http://schemas.openxmlformats.org/officeDocument/2006/relationships/hyperlink" Target="https://mega.nz/file/idtxyZzI" TargetMode="External"/><Relationship Id="rId492" Type="http://schemas.openxmlformats.org/officeDocument/2006/relationships/hyperlink" Target="https://mega.nz/file/iJ1XnJYA" TargetMode="External"/><Relationship Id="rId493" Type="http://schemas.openxmlformats.org/officeDocument/2006/relationships/hyperlink" Target="https://mega.nz/file/HF8m3KKb" TargetMode="External"/><Relationship Id="rId494" Type="http://schemas.openxmlformats.org/officeDocument/2006/relationships/hyperlink" Target="https://mega.nz/file/nEs3UTaZ" TargetMode="External"/><Relationship Id="rId495" Type="http://schemas.openxmlformats.org/officeDocument/2006/relationships/hyperlink" Target="https://mega.nz/file/qd8j3aDa" TargetMode="External"/><Relationship Id="rId496" Type="http://schemas.openxmlformats.org/officeDocument/2006/relationships/hyperlink" Target="https://mega.nz/file/iVkSXTSB" TargetMode="External"/><Relationship Id="rId497" Type="http://schemas.openxmlformats.org/officeDocument/2006/relationships/hyperlink" Target="https://mega.nz/file/GQFFgb4Q" TargetMode="External"/><Relationship Id="rId498" Type="http://schemas.openxmlformats.org/officeDocument/2006/relationships/hyperlink" Target="https://mega.nz/file/DEcDiQCB" TargetMode="External"/><Relationship Id="rId499" Type="http://schemas.openxmlformats.org/officeDocument/2006/relationships/hyperlink" Target="https://mega.nz/file/CJUggZoC" TargetMode="External"/><Relationship Id="rId500" Type="http://schemas.openxmlformats.org/officeDocument/2006/relationships/hyperlink" Target="https://mega.nz/file/iI003bKZ" TargetMode="External"/><Relationship Id="rId501" Type="http://schemas.openxmlformats.org/officeDocument/2006/relationships/hyperlink" Target="https://mega.nz/file/WEcQGbDL" TargetMode="External"/><Relationship Id="rId502" Type="http://schemas.openxmlformats.org/officeDocument/2006/relationships/hyperlink" Target="https://mega.nz/file/OI1CjTjb" TargetMode="External"/><Relationship Id="rId503" Type="http://schemas.openxmlformats.org/officeDocument/2006/relationships/hyperlink" Target="https://mega.nz/file/WMVzwCjB" TargetMode="External"/><Relationship Id="rId504" Type="http://schemas.openxmlformats.org/officeDocument/2006/relationships/hyperlink" Target="https://mega.nz/file/eZl0mKTD" TargetMode="External"/><Relationship Id="rId505" Type="http://schemas.openxmlformats.org/officeDocument/2006/relationships/hyperlink" Target="https://mega.nz/file/bBtSiCSC" TargetMode="External"/><Relationship Id="rId506" Type="http://schemas.openxmlformats.org/officeDocument/2006/relationships/hyperlink" Target="https://mega.nz/file/bUNDhTjL" TargetMode="External"/><Relationship Id="rId507" Type="http://schemas.openxmlformats.org/officeDocument/2006/relationships/hyperlink" Target="https://mega.nz/file/6MMCWDSC" TargetMode="External"/><Relationship Id="rId508" Type="http://schemas.openxmlformats.org/officeDocument/2006/relationships/hyperlink" Target="https://mega.nz/file/WEMH1JYL" TargetMode="External"/><Relationship Id="rId509" Type="http://schemas.openxmlformats.org/officeDocument/2006/relationships/hyperlink" Target="https://mega.nz/file/CZUmFCCZ" TargetMode="External"/><Relationship Id="rId510" Type="http://schemas.openxmlformats.org/officeDocument/2006/relationships/hyperlink" Target="https://mega.nz/file/iRUEBIqZ" TargetMode="External"/><Relationship Id="rId511" Type="http://schemas.openxmlformats.org/officeDocument/2006/relationships/hyperlink" Target="https://mega.nz/file/CUk2BTiI" TargetMode="External"/><Relationship Id="rId512" Type="http://schemas.openxmlformats.org/officeDocument/2006/relationships/hyperlink" Target="https://mega.nz/file/LAVVDBib" TargetMode="External"/><Relationship Id="rId513" Type="http://schemas.openxmlformats.org/officeDocument/2006/relationships/hyperlink" Target="https://mega.nz/file/CQUVhByQ" TargetMode="External"/><Relationship Id="rId514" Type="http://schemas.openxmlformats.org/officeDocument/2006/relationships/hyperlink" Target="https://mega.nz/file/eN0VkYDI" TargetMode="External"/><Relationship Id="rId515" Type="http://schemas.openxmlformats.org/officeDocument/2006/relationships/hyperlink" Target="https://mega.nz/file/2QsnlZCY" TargetMode="External"/><Relationship Id="rId516" Type="http://schemas.openxmlformats.org/officeDocument/2006/relationships/hyperlink" Target="https://mega.nz/file/fQsmERiJ" TargetMode="External"/><Relationship Id="rId517" Type="http://schemas.openxmlformats.org/officeDocument/2006/relationships/hyperlink" Target="https://mega.nz/file/aJMngSYR" TargetMode="External"/><Relationship Id="rId518" Type="http://schemas.openxmlformats.org/officeDocument/2006/relationships/hyperlink" Target="https://mega.nz/file/2Rs3yBSC" TargetMode="External"/><Relationship Id="rId519" Type="http://schemas.openxmlformats.org/officeDocument/2006/relationships/hyperlink" Target="https://mega.nz/file/uVcwhaBQ" TargetMode="External"/><Relationship Id="rId520" Type="http://schemas.openxmlformats.org/officeDocument/2006/relationships/hyperlink" Target="https://mega.nz/file/6N8DhBhY" TargetMode="External"/><Relationship Id="rId521" Type="http://schemas.openxmlformats.org/officeDocument/2006/relationships/hyperlink" Target="https://mega.nz/file/uBEW3bbR" TargetMode="External"/><Relationship Id="rId522" Type="http://schemas.openxmlformats.org/officeDocument/2006/relationships/hyperlink" Target="https://mega.nz/file/uMtF3ZjQ" TargetMode="External"/><Relationship Id="rId523" Type="http://schemas.openxmlformats.org/officeDocument/2006/relationships/hyperlink" Target="https://mega.nz/file/aJkjyIRJ" TargetMode="External"/><Relationship Id="rId524" Type="http://schemas.openxmlformats.org/officeDocument/2006/relationships/hyperlink" Target="https://mega.nz/file/bINXEJZI" TargetMode="External"/><Relationship Id="rId525" Type="http://schemas.openxmlformats.org/officeDocument/2006/relationships/hyperlink" Target="https://mega.nz/file/TR02nAAQ" TargetMode="External"/><Relationship Id="rId526" Type="http://schemas.openxmlformats.org/officeDocument/2006/relationships/hyperlink" Target="https://mega.nz/file/7Yl3kJbb" TargetMode="External"/><Relationship Id="rId527" Type="http://schemas.openxmlformats.org/officeDocument/2006/relationships/hyperlink" Target="https://mega.nz/file/KFNR1JSB" TargetMode="External"/><Relationship Id="rId528" Type="http://schemas.openxmlformats.org/officeDocument/2006/relationships/hyperlink" Target="https://mega.nz/file/7QMHGBwD" TargetMode="External"/><Relationship Id="rId529" Type="http://schemas.openxmlformats.org/officeDocument/2006/relationships/hyperlink" Target="https://mega.nz/file/OM1GiBaQ" TargetMode="External"/><Relationship Id="rId530" Type="http://schemas.openxmlformats.org/officeDocument/2006/relationships/hyperlink" Target="https://mega.nz/file/vE1QQICA" TargetMode="External"/><Relationship Id="rId531" Type="http://schemas.openxmlformats.org/officeDocument/2006/relationships/hyperlink" Target="https://mega.nz/file/TMtniQBI" TargetMode="External"/><Relationship Id="rId532" Type="http://schemas.openxmlformats.org/officeDocument/2006/relationships/hyperlink" Target="https://mega.nz/file/vU1GQTqD" TargetMode="External"/><Relationship Id="rId533" Type="http://schemas.openxmlformats.org/officeDocument/2006/relationships/hyperlink" Target="https://mega.nz/file/XYM1VbQL" TargetMode="External"/><Relationship Id="rId534" Type="http://schemas.openxmlformats.org/officeDocument/2006/relationships/hyperlink" Target="https://mega.nz/file/iEVggRDI" TargetMode="External"/><Relationship Id="rId535" Type="http://schemas.openxmlformats.org/officeDocument/2006/relationships/hyperlink" Target="https://mega.nz/file/6UMiUQTI" TargetMode="External"/><Relationship Id="rId536" Type="http://schemas.openxmlformats.org/officeDocument/2006/relationships/hyperlink" Target="https://mega.nz/file/SZlE2aDQ" TargetMode="External"/><Relationship Id="rId537" Type="http://schemas.openxmlformats.org/officeDocument/2006/relationships/hyperlink" Target="https://mega.nz/file/mcFgWIjS" TargetMode="External"/><Relationship Id="rId538" Type="http://schemas.openxmlformats.org/officeDocument/2006/relationships/hyperlink" Target="https://mega.nz/file/XQFWEapD" TargetMode="External"/><Relationship Id="rId539" Type="http://schemas.openxmlformats.org/officeDocument/2006/relationships/hyperlink" Target="https://mega.nz/file/rd8HUQDa" TargetMode="External"/><Relationship Id="rId540" Type="http://schemas.openxmlformats.org/officeDocument/2006/relationships/hyperlink" Target="https://mega.nz/file/LRMVECSK" TargetMode="External"/><Relationship Id="rId541" Type="http://schemas.openxmlformats.org/officeDocument/2006/relationships/hyperlink" Target="https://mega.nz/file/HEMh3AbA" TargetMode="External"/><Relationship Id="rId542" Type="http://schemas.openxmlformats.org/officeDocument/2006/relationships/hyperlink" Target="https://mega.nz/file/7VtlgZST" TargetMode="External"/><Relationship Id="rId543" Type="http://schemas.openxmlformats.org/officeDocument/2006/relationships/hyperlink" Target="https://mega.nz/file/jMN3zZDQ" TargetMode="External"/><Relationship Id="rId544" Type="http://schemas.openxmlformats.org/officeDocument/2006/relationships/hyperlink" Target="https://mega.nz/file/qV8BgDJa" TargetMode="External"/><Relationship Id="rId545" Type="http://schemas.openxmlformats.org/officeDocument/2006/relationships/hyperlink" Target="https://mega.nz/file/SQEQyISb" TargetMode="External"/><Relationship Id="rId546" Type="http://schemas.openxmlformats.org/officeDocument/2006/relationships/hyperlink" Target="https://mega.nz/file/LcNU0LYJ" TargetMode="External"/><Relationship Id="rId547" Type="http://schemas.openxmlformats.org/officeDocument/2006/relationships/hyperlink" Target="https://mega.nz/file/eIUXCZJL" TargetMode="External"/><Relationship Id="rId548" Type="http://schemas.openxmlformats.org/officeDocument/2006/relationships/hyperlink" Target="https://mega.nz/file/qcMinYob" TargetMode="External"/><Relationship Id="rId549" Type="http://schemas.openxmlformats.org/officeDocument/2006/relationships/hyperlink" Target="https://mega.nz/file/GVFS3IpS" TargetMode="External"/><Relationship Id="rId550" Type="http://schemas.openxmlformats.org/officeDocument/2006/relationships/hyperlink" Target="https://mega.nz/file/vAEW0DgA" TargetMode="External"/><Relationship Id="rId551" Type="http://schemas.openxmlformats.org/officeDocument/2006/relationships/hyperlink" Target="https://mega.nz/file/vVcBWTbQ" TargetMode="External"/><Relationship Id="rId552" Type="http://schemas.openxmlformats.org/officeDocument/2006/relationships/hyperlink" Target="https://mega.nz/file/eYV3marZ" TargetMode="External"/><Relationship Id="rId553" Type="http://schemas.openxmlformats.org/officeDocument/2006/relationships/hyperlink" Target="https://mega.nz/file/yIMWBARD" TargetMode="External"/><Relationship Id="rId554" Type="http://schemas.openxmlformats.org/officeDocument/2006/relationships/hyperlink" Target="https://mega.nz/file/jdMhjLyB" TargetMode="External"/><Relationship Id="rId555" Type="http://schemas.openxmlformats.org/officeDocument/2006/relationships/hyperlink" Target="https://mega.nz/file/GZ8FmKbZ" TargetMode="External"/><Relationship Id="rId556" Type="http://schemas.openxmlformats.org/officeDocument/2006/relationships/hyperlink" Target="https://mega.nz/file/fZ0RyK4I" TargetMode="External"/><Relationship Id="rId557" Type="http://schemas.openxmlformats.org/officeDocument/2006/relationships/hyperlink" Target="https://mega.nz/file/mZszwSKA" TargetMode="External"/><Relationship Id="rId558" Type="http://schemas.openxmlformats.org/officeDocument/2006/relationships/hyperlink" Target="https://mega.nz/file/2IU3XZTD" TargetMode="External"/><Relationship Id="rId559" Type="http://schemas.openxmlformats.org/officeDocument/2006/relationships/hyperlink" Target="https://mega.nz/file/GZlTGawZ" TargetMode="External"/><Relationship Id="rId560" Type="http://schemas.openxmlformats.org/officeDocument/2006/relationships/hyperlink" Target="https://mega.nz/file/nB9RBTJB" TargetMode="External"/><Relationship Id="rId561" Type="http://schemas.openxmlformats.org/officeDocument/2006/relationships/hyperlink" Target="https://mega.nz/file/qYcXTBIZ" TargetMode="External"/><Relationship Id="rId562" Type="http://schemas.openxmlformats.org/officeDocument/2006/relationships/hyperlink" Target="https://mega.nz/file/uRNgHZ4D" TargetMode="External"/><Relationship Id="rId563" Type="http://schemas.openxmlformats.org/officeDocument/2006/relationships/hyperlink" Target="https://mega.nz/file/WYFwUbQJ" TargetMode="External"/><Relationship Id="rId564" Type="http://schemas.openxmlformats.org/officeDocument/2006/relationships/hyperlink" Target="https://mega.nz/file/zBcQUTpD" TargetMode="External"/><Relationship Id="rId565" Type="http://schemas.openxmlformats.org/officeDocument/2006/relationships/hyperlink" Target="https://mega.nz/file/qQ1mhCAa" TargetMode="External"/><Relationship Id="rId566" Type="http://schemas.openxmlformats.org/officeDocument/2006/relationships/hyperlink" Target="https://mega.nz/file/eJNzyShS" TargetMode="External"/><Relationship Id="rId567" Type="http://schemas.openxmlformats.org/officeDocument/2006/relationships/hyperlink" Target="https://mega.nz/file/zAlyzajT" TargetMode="External"/><Relationship Id="rId568" Type="http://schemas.openxmlformats.org/officeDocument/2006/relationships/hyperlink" Target="https://mega.nz/file/qIsEmSrQ" TargetMode="External"/><Relationship Id="rId569" Type="http://schemas.openxmlformats.org/officeDocument/2006/relationships/hyperlink" Target="https://mega.nz/file/vFtFFIrb" TargetMode="External"/><Relationship Id="rId570" Type="http://schemas.openxmlformats.org/officeDocument/2006/relationships/hyperlink" Target="https://mega.nz/file/KA0VjBQC" TargetMode="External"/><Relationship Id="rId571" Type="http://schemas.openxmlformats.org/officeDocument/2006/relationships/hyperlink" Target="https://mega.nz/file/OUlCTIxK" TargetMode="External"/><Relationship Id="rId572" Type="http://schemas.openxmlformats.org/officeDocument/2006/relationships/hyperlink" Target="https://mega.nz/file/vcUBWIxb" TargetMode="External"/><Relationship Id="rId573" Type="http://schemas.openxmlformats.org/officeDocument/2006/relationships/hyperlink" Target="https://mega.nz/file/PQ93UJqA" TargetMode="External"/><Relationship Id="rId574" Type="http://schemas.openxmlformats.org/officeDocument/2006/relationships/hyperlink" Target="https://mega.nz/file/DU1hSBDL" TargetMode="External"/><Relationship Id="rId575" Type="http://schemas.openxmlformats.org/officeDocument/2006/relationships/hyperlink" Target="https://mega.nz/file/KElmQbzJ" TargetMode="External"/><Relationship Id="rId576" Type="http://schemas.openxmlformats.org/officeDocument/2006/relationships/hyperlink" Target="https://mega.nz/file/XYsmlSrI" TargetMode="External"/><Relationship Id="rId577" Type="http://schemas.openxmlformats.org/officeDocument/2006/relationships/hyperlink" Target="https://mega.nz/file/nQdSkRZA" TargetMode="External"/><Relationship Id="rId578" Type="http://schemas.openxmlformats.org/officeDocument/2006/relationships/hyperlink" Target="https://mega.nz/file/zV02mCLT" TargetMode="External"/><Relationship Id="rId579" Type="http://schemas.openxmlformats.org/officeDocument/2006/relationships/hyperlink" Target="https://mega.nz/file/7YUABIIA" TargetMode="External"/><Relationship Id="rId580" Type="http://schemas.openxmlformats.org/officeDocument/2006/relationships/hyperlink" Target="https://mega.nz/file/KFcywK4b" TargetMode="External"/><Relationship Id="rId581" Type="http://schemas.openxmlformats.org/officeDocument/2006/relationships/hyperlink" Target="https://mega.nz/file/zUcFgRaA" TargetMode="External"/><Relationship Id="rId582" Type="http://schemas.openxmlformats.org/officeDocument/2006/relationships/hyperlink" Target="https://mega.nz/file/aV8wTCDa" TargetMode="External"/><Relationship Id="rId583" Type="http://schemas.openxmlformats.org/officeDocument/2006/relationships/hyperlink" Target="https://mega.nz/file/mUMVVYga" TargetMode="External"/><Relationship Id="rId584" Type="http://schemas.openxmlformats.org/officeDocument/2006/relationships/hyperlink" Target="https://mega.nz/file/fNF0RI6a" TargetMode="External"/><Relationship Id="rId585" Type="http://schemas.openxmlformats.org/officeDocument/2006/relationships/hyperlink" Target="https://mega.nz/file/Wc8VHAoR" TargetMode="External"/><Relationship Id="rId586" Type="http://schemas.openxmlformats.org/officeDocument/2006/relationships/hyperlink" Target="https://mega.nz/file/LAkVWTAJ" TargetMode="External"/><Relationship Id="rId587" Type="http://schemas.openxmlformats.org/officeDocument/2006/relationships/hyperlink" Target="https://mega.nz/file/rZsUCYYC" TargetMode="External"/><Relationship Id="rId588" Type="http://schemas.openxmlformats.org/officeDocument/2006/relationships/hyperlink" Target="https://mega.nz/file/3JdRCSDZ" TargetMode="External"/><Relationship Id="rId589" Type="http://schemas.openxmlformats.org/officeDocument/2006/relationships/hyperlink" Target="https://mega.nz/file/7Rk2kA4T" TargetMode="External"/><Relationship Id="rId590" Type="http://schemas.openxmlformats.org/officeDocument/2006/relationships/hyperlink" Target="https://mega.nz/file/zJtDyIxA" TargetMode="External"/><Relationship Id="rId591" Type="http://schemas.openxmlformats.org/officeDocument/2006/relationships/hyperlink" Target="https://mega.nz/file/jJNFnBIL" TargetMode="External"/><Relationship Id="rId592" Type="http://schemas.openxmlformats.org/officeDocument/2006/relationships/hyperlink" Target="https://mega.nz/file/eJc0iZLB" TargetMode="External"/><Relationship Id="rId593" Type="http://schemas.openxmlformats.org/officeDocument/2006/relationships/hyperlink" Target="https://mega.nz/file/rQ8UnIhD" TargetMode="External"/><Relationship Id="rId594" Type="http://schemas.openxmlformats.org/officeDocument/2006/relationships/hyperlink" Target="https://mega.nz/file/rEtB2JQA" TargetMode="External"/><Relationship Id="rId595" Type="http://schemas.openxmlformats.org/officeDocument/2006/relationships/hyperlink" Target="https://mega.nz/file/KJdBEIqQ" TargetMode="External"/><Relationship Id="rId596" Type="http://schemas.openxmlformats.org/officeDocument/2006/relationships/hyperlink" Target="https://mega.nz/file/jV8ilD7A" TargetMode="External"/><Relationship Id="rId597" Type="http://schemas.openxmlformats.org/officeDocument/2006/relationships/hyperlink" Target="https://mega.nz/file/Cd9jgIqb" TargetMode="External"/><Relationship Id="rId598" Type="http://schemas.openxmlformats.org/officeDocument/2006/relationships/hyperlink" Target="https://mega.nz/file/rAcV0Kza" TargetMode="External"/><Relationship Id="rId599" Type="http://schemas.openxmlformats.org/officeDocument/2006/relationships/hyperlink" Target="https://mega.nz/file/vI1HDBwD" TargetMode="External"/><Relationship Id="rId600" Type="http://schemas.openxmlformats.org/officeDocument/2006/relationships/hyperlink" Target="https://mega.nz/file/TVFASQJK" TargetMode="External"/><Relationship Id="rId601" Type="http://schemas.openxmlformats.org/officeDocument/2006/relationships/hyperlink" Target="https://mega.nz/file/KY0BQYpA" TargetMode="External"/><Relationship Id="rId602" Type="http://schemas.openxmlformats.org/officeDocument/2006/relationships/hyperlink" Target="https://mega.nz/file/mIlEkTLT" TargetMode="External"/><Relationship Id="rId603" Type="http://schemas.openxmlformats.org/officeDocument/2006/relationships/hyperlink" Target="https://mega.nz/file/iUUWDDrA" TargetMode="External"/><Relationship Id="rId604" Type="http://schemas.openxmlformats.org/officeDocument/2006/relationships/hyperlink" Target="https://mega.nz/file/OAECzBLa" TargetMode="External"/><Relationship Id="rId605" Type="http://schemas.openxmlformats.org/officeDocument/2006/relationships/hyperlink" Target="https://mega.nz/file/udFEVTKD" TargetMode="External"/><Relationship Id="rId606" Type="http://schemas.openxmlformats.org/officeDocument/2006/relationships/hyperlink" Target="https://mega.nz/file/jUU3kZBR" TargetMode="External"/><Relationship Id="rId607" Type="http://schemas.openxmlformats.org/officeDocument/2006/relationships/hyperlink" Target="https://mega.nz/file/Gcsh1ARY" TargetMode="External"/><Relationship Id="rId608" Type="http://schemas.openxmlformats.org/officeDocument/2006/relationships/hyperlink" Target="https://mega.nz/file/LA1HALxb" TargetMode="External"/><Relationship Id="rId609" Type="http://schemas.openxmlformats.org/officeDocument/2006/relationships/hyperlink" Target="https://mega.nz/file/mQVQERRC" TargetMode="External"/><Relationship Id="rId610" Type="http://schemas.openxmlformats.org/officeDocument/2006/relationships/hyperlink" Target="https://mega.nz/file/TVlzFCoJ" TargetMode="External"/><Relationship Id="rId611" Type="http://schemas.openxmlformats.org/officeDocument/2006/relationships/hyperlink" Target="https://mega.nz/file/WJkBQKCI" TargetMode="External"/><Relationship Id="rId612" Type="http://schemas.openxmlformats.org/officeDocument/2006/relationships/hyperlink" Target="https://mega.nz/file/CNFQTKSI" TargetMode="External"/><Relationship Id="rId613" Type="http://schemas.openxmlformats.org/officeDocument/2006/relationships/hyperlink" Target="https://mega.nz/file/mBkhgLSA" TargetMode="External"/><Relationship Id="rId614" Type="http://schemas.openxmlformats.org/officeDocument/2006/relationships/hyperlink" Target="https://mega.nz/file/XEFj0aiT" TargetMode="External"/><Relationship Id="rId615" Type="http://schemas.openxmlformats.org/officeDocument/2006/relationships/hyperlink" Target="https://mega.nz/file/LVsRWTLI" TargetMode="External"/><Relationship Id="rId616" Type="http://schemas.openxmlformats.org/officeDocument/2006/relationships/hyperlink" Target="https://mega.nz/file/6cEWnYCT" TargetMode="External"/><Relationship Id="rId617" Type="http://schemas.openxmlformats.org/officeDocument/2006/relationships/hyperlink" Target="https://mega.nz/file/6UVA2YbQ" TargetMode="External"/><Relationship Id="rId618" Type="http://schemas.openxmlformats.org/officeDocument/2006/relationships/hyperlink" Target="https://mega.nz/file/rFE2DSqR" TargetMode="External"/><Relationship Id="rId619" Type="http://schemas.openxmlformats.org/officeDocument/2006/relationships/hyperlink" Target="https://mega.nz/file/PRkR3KrL" TargetMode="External"/><Relationship Id="rId620" Type="http://schemas.openxmlformats.org/officeDocument/2006/relationships/hyperlink" Target="https://mega.nz/file/HANWXTbK" TargetMode="External"/><Relationship Id="rId621" Type="http://schemas.openxmlformats.org/officeDocument/2006/relationships/hyperlink" Target="https://mega.nz/file/LF0GgIST" TargetMode="External"/><Relationship Id="rId622" Type="http://schemas.openxmlformats.org/officeDocument/2006/relationships/hyperlink" Target="https://mega.nz/file/PMFGUboK" TargetMode="External"/><Relationship Id="rId623" Type="http://schemas.openxmlformats.org/officeDocument/2006/relationships/hyperlink" Target="https://mega.nz/file/bUUUUAqK" TargetMode="External"/><Relationship Id="rId624" Type="http://schemas.openxmlformats.org/officeDocument/2006/relationships/hyperlink" Target="https://mega.nz/file/aVlmDTwD" TargetMode="External"/><Relationship Id="rId625" Type="http://schemas.openxmlformats.org/officeDocument/2006/relationships/hyperlink" Target="https://mega.nz/file/6I9mkAoT" TargetMode="External"/><Relationship Id="rId626" Type="http://schemas.openxmlformats.org/officeDocument/2006/relationships/hyperlink" Target="https://mega.nz/file/uJ1hXCrZ" TargetMode="External"/><Relationship Id="rId627" Type="http://schemas.openxmlformats.org/officeDocument/2006/relationships/hyperlink" Target="https://mega.nz/file/TFNRwDBD" TargetMode="External"/><Relationship Id="rId628" Type="http://schemas.openxmlformats.org/officeDocument/2006/relationships/hyperlink" Target="https://mega.nz/file/KVkWCSzT" TargetMode="External"/><Relationship Id="rId629" Type="http://schemas.openxmlformats.org/officeDocument/2006/relationships/hyperlink" Target="https://mega.nz/file/GU9UDbRb" TargetMode="External"/><Relationship Id="rId630" Type="http://schemas.openxmlformats.org/officeDocument/2006/relationships/hyperlink" Target="https://mega.nz/file/GYsyUZIK" TargetMode="External"/><Relationship Id="rId631" Type="http://schemas.openxmlformats.org/officeDocument/2006/relationships/hyperlink" Target="https://mega.nz/file/2Yl2VRzK" TargetMode="External"/><Relationship Id="rId632" Type="http://schemas.openxmlformats.org/officeDocument/2006/relationships/hyperlink" Target="https://mega.nz/file/XY1TwJbI" TargetMode="External"/><Relationship Id="rId633" Type="http://schemas.openxmlformats.org/officeDocument/2006/relationships/hyperlink" Target="https://mega.nz/file/KREFzDbB" TargetMode="External"/><Relationship Id="rId634" Type="http://schemas.openxmlformats.org/officeDocument/2006/relationships/hyperlink" Target="https://mega.nz/file/2IcylJoQ" TargetMode="External"/><Relationship Id="rId635" Type="http://schemas.openxmlformats.org/officeDocument/2006/relationships/hyperlink" Target="https://mega.nz/file/yMVEhI5I" TargetMode="External"/><Relationship Id="rId636" Type="http://schemas.openxmlformats.org/officeDocument/2006/relationships/hyperlink" Target="https://mega.nz/file/rcFX1KbL" TargetMode="External"/><Relationship Id="rId637" Type="http://schemas.openxmlformats.org/officeDocument/2006/relationships/hyperlink" Target="https://mega.nz/file/6AcCGYaA" TargetMode="External"/><Relationship Id="rId638" Type="http://schemas.openxmlformats.org/officeDocument/2006/relationships/hyperlink" Target="https://mega.nz/file/WAUhSJob" TargetMode="External"/><Relationship Id="rId639" Type="http://schemas.openxmlformats.org/officeDocument/2006/relationships/hyperlink" Target="https://mega.nz/file/LNVBFIgT" TargetMode="External"/><Relationship Id="rId640" Type="http://schemas.openxmlformats.org/officeDocument/2006/relationships/hyperlink" Target="https://mega.nz/file/GUVghL4T" TargetMode="External"/><Relationship Id="rId641" Type="http://schemas.openxmlformats.org/officeDocument/2006/relationships/hyperlink" Target="https://mega.nz/file/uB1SkBAY" TargetMode="External"/><Relationship Id="rId642" Type="http://schemas.openxmlformats.org/officeDocument/2006/relationships/hyperlink" Target="https://mega.nz/file/rMVhkAhB" TargetMode="External"/><Relationship Id="rId643" Type="http://schemas.openxmlformats.org/officeDocument/2006/relationships/hyperlink" Target="https://mega.nz/file/LNlykAST" TargetMode="External"/><Relationship Id="rId644" Type="http://schemas.openxmlformats.org/officeDocument/2006/relationships/hyperlink" Target="https://mega.nz/file/HMFiwK4Q" TargetMode="External"/><Relationship Id="rId645" Type="http://schemas.openxmlformats.org/officeDocument/2006/relationships/hyperlink" Target="https://mega.nz/file/TQ0RTIIQ" TargetMode="External"/><Relationship Id="rId646" Type="http://schemas.openxmlformats.org/officeDocument/2006/relationships/hyperlink" Target="https://mega.nz/file/LV1ghYoa" TargetMode="External"/><Relationship Id="rId647" Type="http://schemas.openxmlformats.org/officeDocument/2006/relationships/hyperlink" Target="https://mega.nz/file/LF1TCAoQ" TargetMode="External"/><Relationship Id="rId648" Type="http://schemas.openxmlformats.org/officeDocument/2006/relationships/hyperlink" Target="https://mega.nz/file/aQNkBYLR" TargetMode="External"/><Relationship Id="rId649" Type="http://schemas.openxmlformats.org/officeDocument/2006/relationships/hyperlink" Target="https://mega.nz/file/WYFQwQRQ" TargetMode="External"/><Relationship Id="rId650" Type="http://schemas.openxmlformats.org/officeDocument/2006/relationships/hyperlink" Target="https://mega.nz/file/LMslACLB" TargetMode="External"/><Relationship Id="rId651" Type="http://schemas.openxmlformats.org/officeDocument/2006/relationships/hyperlink" Target="https://mega.nz/file/eZMEXJCR" TargetMode="External"/><Relationship Id="rId652" Type="http://schemas.openxmlformats.org/officeDocument/2006/relationships/hyperlink" Target="https://mega.nz/file/bRFzHTrY" TargetMode="External"/><Relationship Id="rId653" Type="http://schemas.openxmlformats.org/officeDocument/2006/relationships/hyperlink" Target="https://mega.nz/file/TVEzmBra" TargetMode="External"/><Relationship Id="rId654" Type="http://schemas.openxmlformats.org/officeDocument/2006/relationships/hyperlink" Target="https://mega.nz/file/3NdSVJSS" TargetMode="External"/><Relationship Id="rId655" Type="http://schemas.openxmlformats.org/officeDocument/2006/relationships/hyperlink" Target="https://mega.nz/file/6V9Q2KBD" TargetMode="External"/><Relationship Id="rId656" Type="http://schemas.openxmlformats.org/officeDocument/2006/relationships/hyperlink" Target="https://mega.nz/file/mNMmAYDb" TargetMode="External"/><Relationship Id="rId657" Type="http://schemas.openxmlformats.org/officeDocument/2006/relationships/hyperlink" Target="https://mega.nz/file/iIdl3aoD" TargetMode="External"/><Relationship Id="rId658" Type="http://schemas.openxmlformats.org/officeDocument/2006/relationships/hyperlink" Target="https://mega.nz/file/nAc0kBxD" TargetMode="External"/><Relationship Id="rId659" Type="http://schemas.openxmlformats.org/officeDocument/2006/relationships/hyperlink" Target="https://mega.nz/file/mN02DCwZ" TargetMode="External"/><Relationship Id="rId660" Type="http://schemas.openxmlformats.org/officeDocument/2006/relationships/hyperlink" Target="https://mega.nz/file/jZlGwYxZ" TargetMode="External"/><Relationship Id="rId661" Type="http://schemas.openxmlformats.org/officeDocument/2006/relationships/hyperlink" Target="https://mega.nz/file/jdczmSya" TargetMode="External"/><Relationship Id="rId662" Type="http://schemas.openxmlformats.org/officeDocument/2006/relationships/hyperlink" Target="https://mega.nz/file/rd1F3D5a" TargetMode="External"/><Relationship Id="rId663" Type="http://schemas.openxmlformats.org/officeDocument/2006/relationships/hyperlink" Target="https://mega.nz/file/CcsAFLCI" TargetMode="External"/><Relationship Id="rId664" Type="http://schemas.openxmlformats.org/officeDocument/2006/relationships/hyperlink" Target="https://mega.nz/file/LckmQRaD" TargetMode="External"/><Relationship Id="rId665" Type="http://schemas.openxmlformats.org/officeDocument/2006/relationships/hyperlink" Target="https://mega.nz/file/XF9jlb6b" TargetMode="External"/><Relationship Id="rId666" Type="http://schemas.openxmlformats.org/officeDocument/2006/relationships/hyperlink" Target="https://mega.nz/file/KIV1mDbK" TargetMode="External"/><Relationship Id="rId667" Type="http://schemas.openxmlformats.org/officeDocument/2006/relationships/hyperlink" Target="https://mega.nz/file/yIFUhLBS" TargetMode="External"/><Relationship Id="rId668" Type="http://schemas.openxmlformats.org/officeDocument/2006/relationships/hyperlink" Target="https://mega.nz/file/jclVGSSI" TargetMode="External"/><Relationship Id="rId669" Type="http://schemas.openxmlformats.org/officeDocument/2006/relationships/hyperlink" Target="https://mega.nz/file/TRcgiAxS" TargetMode="External"/><Relationship Id="rId670" Type="http://schemas.openxmlformats.org/officeDocument/2006/relationships/hyperlink" Target="https://mega.nz/file/bE8xAShR" TargetMode="External"/><Relationship Id="rId671" Type="http://schemas.openxmlformats.org/officeDocument/2006/relationships/hyperlink" Target="https://mega.nz/file/jU80xDSD" TargetMode="External"/><Relationship Id="rId672" Type="http://schemas.openxmlformats.org/officeDocument/2006/relationships/hyperlink" Target="https://mega.nz/file/yBUAHa4S" TargetMode="External"/><Relationship Id="rId673" Type="http://schemas.openxmlformats.org/officeDocument/2006/relationships/hyperlink" Target="https://mega.nz/file/fRlQVDJJ" TargetMode="External"/><Relationship Id="rId674" Type="http://schemas.openxmlformats.org/officeDocument/2006/relationships/hyperlink" Target="https://mega.nz/file/rMdhCA4B" TargetMode="External"/><Relationship Id="rId675" Type="http://schemas.openxmlformats.org/officeDocument/2006/relationships/hyperlink" Target="https://mega.nz/file/vAM0kKhC" TargetMode="External"/><Relationship Id="rId676" Type="http://schemas.openxmlformats.org/officeDocument/2006/relationships/hyperlink" Target="https://mega.nz/file/LAsjBDbI" TargetMode="External"/><Relationship Id="rId677" Type="http://schemas.openxmlformats.org/officeDocument/2006/relationships/hyperlink" Target="https://mega.nz/file/mUdRTKYL" TargetMode="External"/><Relationship Id="rId678" Type="http://schemas.openxmlformats.org/officeDocument/2006/relationships/hyperlink" Target="https://mega.nz/file/6dkkXITI" TargetMode="External"/><Relationship Id="rId679" Type="http://schemas.openxmlformats.org/officeDocument/2006/relationships/hyperlink" Target="https://mega.nz/file/CZ1RWBzI" TargetMode="External"/><Relationship Id="rId680" Type="http://schemas.openxmlformats.org/officeDocument/2006/relationships/hyperlink" Target="https://mega.nz/file/LQFhXCLA" TargetMode="External"/><Relationship Id="rId681" Type="http://schemas.openxmlformats.org/officeDocument/2006/relationships/hyperlink" Target="https://mega.nz/file/WA0EhQAR" TargetMode="External"/><Relationship Id="rId682" Type="http://schemas.openxmlformats.org/officeDocument/2006/relationships/hyperlink" Target="https://mega.nz/file/6d81BRTZ" TargetMode="External"/><Relationship Id="rId683" Type="http://schemas.openxmlformats.org/officeDocument/2006/relationships/hyperlink" Target="https://mega.nz/file/LFtC3RoJ" TargetMode="External"/><Relationship Id="rId684" Type="http://schemas.openxmlformats.org/officeDocument/2006/relationships/hyperlink" Target="https://mega.nz/file/PclmmAaJ" TargetMode="External"/><Relationship Id="rId685" Type="http://schemas.openxmlformats.org/officeDocument/2006/relationships/hyperlink" Target="https://mega.nz/file/Dc9yBIJD" TargetMode="External"/><Relationship Id="rId686" Type="http://schemas.openxmlformats.org/officeDocument/2006/relationships/hyperlink" Target="https://mega.nz/file/uIUBhSTC" TargetMode="External"/><Relationship Id="rId687" Type="http://schemas.openxmlformats.org/officeDocument/2006/relationships/hyperlink" Target="https://mega.nz/file/3YMylJLL" TargetMode="External"/><Relationship Id="rId688" Type="http://schemas.openxmlformats.org/officeDocument/2006/relationships/hyperlink" Target="https://mega.nz/file/vBcn0D4D" TargetMode="External"/><Relationship Id="rId689" Type="http://schemas.openxmlformats.org/officeDocument/2006/relationships/hyperlink" Target="https://mega.nz/file/mNMFUSrZ" TargetMode="External"/><Relationship Id="rId690" Type="http://schemas.openxmlformats.org/officeDocument/2006/relationships/hyperlink" Target="https://mega.nz/file/DF8EQZLQ" TargetMode="External"/><Relationship Id="rId691" Type="http://schemas.openxmlformats.org/officeDocument/2006/relationships/hyperlink" Target="https://mega.nz/file/iJFCHIyA" TargetMode="External"/><Relationship Id="rId692" Type="http://schemas.openxmlformats.org/officeDocument/2006/relationships/hyperlink" Target="https://mega.nz/file/PNt0QbAT" TargetMode="External"/><Relationship Id="rId693" Type="http://schemas.openxmlformats.org/officeDocument/2006/relationships/hyperlink" Target="https://mega.nz/file/SccByDwR" TargetMode="External"/><Relationship Id="rId694" Type="http://schemas.openxmlformats.org/officeDocument/2006/relationships/hyperlink" Target="https://mega.nz/file/HJFwkbwK" TargetMode="External"/><Relationship Id="rId695" Type="http://schemas.openxmlformats.org/officeDocument/2006/relationships/hyperlink" Target="https://mega.nz/file/vB9XmJ7R" TargetMode="External"/><Relationship Id="rId696" Type="http://schemas.openxmlformats.org/officeDocument/2006/relationships/hyperlink" Target="https://mega.nz/file/bN9S1RBC" TargetMode="External"/><Relationship Id="rId697" Type="http://schemas.openxmlformats.org/officeDocument/2006/relationships/hyperlink" Target="https://mega.nz/file/LBUhFQKB" TargetMode="External"/><Relationship Id="rId698" Type="http://schemas.openxmlformats.org/officeDocument/2006/relationships/hyperlink" Target="https://mega.nz/file/fEFzhQRC" TargetMode="External"/><Relationship Id="rId699" Type="http://schemas.openxmlformats.org/officeDocument/2006/relationships/hyperlink" Target="https://mega.nz/file/KB03jSqS" TargetMode="External"/><Relationship Id="rId700" Type="http://schemas.openxmlformats.org/officeDocument/2006/relationships/hyperlink" Target="https://mega.nz/file/CddQSDyA" TargetMode="External"/><Relationship Id="rId701" Type="http://schemas.openxmlformats.org/officeDocument/2006/relationships/hyperlink" Target="https://mega.nz/file/iJF3iJBC" TargetMode="External"/><Relationship Id="rId702" Type="http://schemas.openxmlformats.org/officeDocument/2006/relationships/hyperlink" Target="https://mega.nz/file/aNlinZLD" TargetMode="External"/><Relationship Id="rId703" Type="http://schemas.openxmlformats.org/officeDocument/2006/relationships/hyperlink" Target="https://mega.nz/file/vY0AEILS" TargetMode="External"/><Relationship Id="rId704" Type="http://schemas.openxmlformats.org/officeDocument/2006/relationships/hyperlink" Target="https://mega.nz/file/CY1WgRzB" TargetMode="External"/><Relationship Id="rId705" Type="http://schemas.openxmlformats.org/officeDocument/2006/relationships/hyperlink" Target="https://mega.nz/file/iYMGXJRT" TargetMode="External"/><Relationship Id="rId706" Type="http://schemas.openxmlformats.org/officeDocument/2006/relationships/hyperlink" Target="https://mega.nz/file/XBN2QZDJ" TargetMode="External"/><Relationship Id="rId707" Type="http://schemas.openxmlformats.org/officeDocument/2006/relationships/hyperlink" Target="https://mega.nz/file/KIsi0QKC" TargetMode="External"/><Relationship Id="rId708" Type="http://schemas.openxmlformats.org/officeDocument/2006/relationships/hyperlink" Target="https://mega.nz/file/nUsGiD4J" TargetMode="External"/><Relationship Id="rId709" Type="http://schemas.openxmlformats.org/officeDocument/2006/relationships/hyperlink" Target="https://mega.nz/file/7Ak2mbqa" TargetMode="External"/><Relationship Id="rId710" Type="http://schemas.openxmlformats.org/officeDocument/2006/relationships/hyperlink" Target="https://mega.nz/file/bMsWVYCD" TargetMode="External"/><Relationship Id="rId711" Type="http://schemas.openxmlformats.org/officeDocument/2006/relationships/hyperlink" Target="https://mega.nz/file/OBc0AbII" TargetMode="External"/><Relationship Id="rId712" Type="http://schemas.openxmlformats.org/officeDocument/2006/relationships/hyperlink" Target="https://mega.nz/file/CVMDUB7B" TargetMode="External"/><Relationship Id="rId713" Type="http://schemas.openxmlformats.org/officeDocument/2006/relationships/hyperlink" Target="https://mega.nz/file/SIMUwLDY" TargetMode="External"/><Relationship Id="rId714" Type="http://schemas.openxmlformats.org/officeDocument/2006/relationships/hyperlink" Target="https://mega.nz/file/fYcmSDZS" TargetMode="External"/><Relationship Id="rId715" Type="http://schemas.openxmlformats.org/officeDocument/2006/relationships/hyperlink" Target="https://mega.nz/file/nIMVCLAI" TargetMode="External"/><Relationship Id="rId716" Type="http://schemas.openxmlformats.org/officeDocument/2006/relationships/hyperlink" Target="https://mega.nz/file/LF9GhQRK" TargetMode="External"/><Relationship Id="rId717" Type="http://schemas.openxmlformats.org/officeDocument/2006/relationships/hyperlink" Target="https://mega.nz/file/HddQRSiB" TargetMode="External"/><Relationship Id="rId718" Type="http://schemas.openxmlformats.org/officeDocument/2006/relationships/hyperlink" Target="https://mega.nz/file/7dsABKJR" TargetMode="External"/><Relationship Id="rId719" Type="http://schemas.openxmlformats.org/officeDocument/2006/relationships/hyperlink" Target="https://mega.nz/file/jRNXVLLK" TargetMode="External"/><Relationship Id="rId720" Type="http://schemas.openxmlformats.org/officeDocument/2006/relationships/hyperlink" Target="https://mega.nz/file/iA9S3TaT" TargetMode="External"/><Relationship Id="rId721" Type="http://schemas.openxmlformats.org/officeDocument/2006/relationships/hyperlink" Target="https://mega.nz/file/zdFASZCJ" TargetMode="External"/><Relationship Id="rId722" Type="http://schemas.openxmlformats.org/officeDocument/2006/relationships/hyperlink" Target="https://mega.nz/file/TVVEQLBK" TargetMode="External"/><Relationship Id="rId723" Type="http://schemas.openxmlformats.org/officeDocument/2006/relationships/hyperlink" Target="https://mega.nz/file/7EdFmR4Q" TargetMode="External"/><Relationship Id="rId724" Type="http://schemas.openxmlformats.org/officeDocument/2006/relationships/hyperlink" Target="https://mega.nz/file/TZkGhSga" TargetMode="External"/><Relationship Id="rId725" Type="http://schemas.openxmlformats.org/officeDocument/2006/relationships/hyperlink" Target="https://mega.nz/file/uQFzDbwI" TargetMode="External"/><Relationship Id="rId726" Type="http://schemas.openxmlformats.org/officeDocument/2006/relationships/hyperlink" Target="https://mega.nz/file/eFdRQAIL" TargetMode="External"/><Relationship Id="rId727" Type="http://schemas.openxmlformats.org/officeDocument/2006/relationships/hyperlink" Target="https://mega.nz/file/PAl3mSDA" TargetMode="External"/><Relationship Id="rId728" Type="http://schemas.openxmlformats.org/officeDocument/2006/relationships/hyperlink" Target="https://mega.nz/file/yNERRJRS" TargetMode="External"/><Relationship Id="rId729" Type="http://schemas.openxmlformats.org/officeDocument/2006/relationships/hyperlink" Target="https://mega.nz/file/KF9B1KyC" TargetMode="External"/><Relationship Id="rId730" Type="http://schemas.openxmlformats.org/officeDocument/2006/relationships/hyperlink" Target="https://mega.nz/file/KcUDVLIS" TargetMode="External"/><Relationship Id="rId731" Type="http://schemas.openxmlformats.org/officeDocument/2006/relationships/hyperlink" Target="https://mega.nz/file/qd9xyJiJ" TargetMode="External"/><Relationship Id="rId732" Type="http://schemas.openxmlformats.org/officeDocument/2006/relationships/hyperlink" Target="https://mega.nz/file/2d0AXSjT" TargetMode="External"/><Relationship Id="rId733" Type="http://schemas.openxmlformats.org/officeDocument/2006/relationships/hyperlink" Target="https://mega.nz/file/vFlVxLhS" TargetMode="External"/><Relationship Id="rId734" Type="http://schemas.openxmlformats.org/officeDocument/2006/relationships/hyperlink" Target="https://mega.nz/file/7VEnRJDS" TargetMode="External"/><Relationship Id="rId735" Type="http://schemas.openxmlformats.org/officeDocument/2006/relationships/hyperlink" Target="https://mega.nz/file/zNlUXbjI" TargetMode="External"/><Relationship Id="rId736" Type="http://schemas.openxmlformats.org/officeDocument/2006/relationships/hyperlink" Target="https://mega.nz/file/CV9nAI6b" TargetMode="External"/><Relationship Id="rId737" Type="http://schemas.openxmlformats.org/officeDocument/2006/relationships/hyperlink" Target="https://mega.nz/file/TBdTRAhT" TargetMode="External"/><Relationship Id="rId738" Type="http://schemas.openxmlformats.org/officeDocument/2006/relationships/hyperlink" Target="https://mega.nz/file/2YEjFCQa" TargetMode="External"/><Relationship Id="rId739" Type="http://schemas.openxmlformats.org/officeDocument/2006/relationships/hyperlink" Target="https://mega.nz/file/mR1iVQya" TargetMode="External"/><Relationship Id="rId740" Type="http://schemas.openxmlformats.org/officeDocument/2006/relationships/hyperlink" Target="https://mega.nz/file/iNF0VJyI" TargetMode="External"/><Relationship Id="rId741" Type="http://schemas.openxmlformats.org/officeDocument/2006/relationships/hyperlink" Target="https://mega.nz/file/2FVQgLIA" TargetMode="External"/><Relationship Id="rId742" Type="http://schemas.openxmlformats.org/officeDocument/2006/relationships/hyperlink" Target="https://mega.nz/file/rU9QxK4S" TargetMode="External"/><Relationship Id="rId743" Type="http://schemas.openxmlformats.org/officeDocument/2006/relationships/hyperlink" Target="https://mega.nz/file/DMFVAR6b" TargetMode="External"/><Relationship Id="rId744" Type="http://schemas.openxmlformats.org/officeDocument/2006/relationships/hyperlink" Target="https://mega.nz/file/KAFRGQjb" TargetMode="External"/><Relationship Id="rId745" Type="http://schemas.openxmlformats.org/officeDocument/2006/relationships/hyperlink" Target="https://mega.nz/file/PENmXZ6I" TargetMode="External"/><Relationship Id="rId746" Type="http://schemas.openxmlformats.org/officeDocument/2006/relationships/hyperlink" Target="https://mega.nz/file/XdMjSArY" TargetMode="External"/><Relationship Id="rId747" Type="http://schemas.openxmlformats.org/officeDocument/2006/relationships/hyperlink" Target="https://mega.nz/file/CA9QTC7J" TargetMode="External"/><Relationship Id="rId748" Type="http://schemas.openxmlformats.org/officeDocument/2006/relationships/hyperlink" Target="https://mega.nz/file/rBMSxT6B" TargetMode="External"/><Relationship Id="rId749" Type="http://schemas.openxmlformats.org/officeDocument/2006/relationships/hyperlink" Target="https://mega.nz/file/eE9QgZZS" TargetMode="External"/><Relationship Id="rId750" Type="http://schemas.openxmlformats.org/officeDocument/2006/relationships/hyperlink" Target="https://mega.nz/file/bNcxCAgJ" TargetMode="External"/><Relationship Id="rId751" Type="http://schemas.openxmlformats.org/officeDocument/2006/relationships/hyperlink" Target="https://mega.nz/file/bUMyHITC" TargetMode="External"/><Relationship Id="rId752" Type="http://schemas.openxmlformats.org/officeDocument/2006/relationships/hyperlink" Target="https://mega.nz/file/eIN0AQIB" TargetMode="External"/><Relationship Id="rId753" Type="http://schemas.openxmlformats.org/officeDocument/2006/relationships/hyperlink" Target="https://mega.nz/file/PY1xHAwJ" TargetMode="External"/><Relationship Id="rId754" Type="http://schemas.openxmlformats.org/officeDocument/2006/relationships/hyperlink" Target="https://mega.nz/file/2JFgXBST" TargetMode="External"/><Relationship Id="rId755" Type="http://schemas.openxmlformats.org/officeDocument/2006/relationships/hyperlink" Target="https://mega.nz/file/zId0zSQb" TargetMode="External"/><Relationship Id="rId756" Type="http://schemas.openxmlformats.org/officeDocument/2006/relationships/hyperlink" Target="https://mega.nz/file/DIdRnKoK" TargetMode="External"/><Relationship Id="rId757" Type="http://schemas.openxmlformats.org/officeDocument/2006/relationships/hyperlink" Target="https://mega.nz/file/nEVDiDJL" TargetMode="External"/><Relationship Id="rId758" Type="http://schemas.openxmlformats.org/officeDocument/2006/relationships/hyperlink" Target="https://mega.nz/file/zQ8kQJ7A" TargetMode="External"/><Relationship Id="rId759" Type="http://schemas.openxmlformats.org/officeDocument/2006/relationships/hyperlink" Target="https://mega.nz/file/3Z830RjR" TargetMode="External"/><Relationship Id="rId760" Type="http://schemas.openxmlformats.org/officeDocument/2006/relationships/hyperlink" Target="https://mega.nz/file/DE9FhIiS" TargetMode="External"/><Relationship Id="rId761" Type="http://schemas.openxmlformats.org/officeDocument/2006/relationships/hyperlink" Target="https://mega.nz/file/qZECwRgQ" TargetMode="External"/><Relationship Id="rId762" Type="http://schemas.openxmlformats.org/officeDocument/2006/relationships/hyperlink" Target="https://mega.nz/file/6J8yWaCD" TargetMode="External"/><Relationship Id="rId763" Type="http://schemas.openxmlformats.org/officeDocument/2006/relationships/hyperlink" Target="https://mega.nz/file/bd9GgKKa" TargetMode="External"/><Relationship Id="rId764" Type="http://schemas.openxmlformats.org/officeDocument/2006/relationships/hyperlink" Target="https://mega.nz/file/7MlBXIaJ" TargetMode="External"/><Relationship Id="rId765" Type="http://schemas.openxmlformats.org/officeDocument/2006/relationships/hyperlink" Target="https://mega.nz/file/fA0mxJaI" TargetMode="External"/><Relationship Id="rId766" Type="http://schemas.openxmlformats.org/officeDocument/2006/relationships/hyperlink" Target="https://mega.nz/file/aItziTDC" TargetMode="External"/><Relationship Id="rId767" Type="http://schemas.openxmlformats.org/officeDocument/2006/relationships/hyperlink" Target="https://mega.nz/file/XQkXVIra" TargetMode="External"/><Relationship Id="rId768" Type="http://schemas.openxmlformats.org/officeDocument/2006/relationships/hyperlink" Target="https://mega.nz/file/eIlhXJrC" TargetMode="External"/><Relationship Id="rId769" Type="http://schemas.openxmlformats.org/officeDocument/2006/relationships/hyperlink" Target="https://mega.nz/file/mdNFDSpI" TargetMode="External"/><Relationship Id="rId770" Type="http://schemas.openxmlformats.org/officeDocument/2006/relationships/hyperlink" Target="https://mega.nz/file/LN9ECbBJ" TargetMode="External"/><Relationship Id="rId771" Type="http://schemas.openxmlformats.org/officeDocument/2006/relationships/hyperlink" Target="https://mega.nz/file/KEdwwboB" TargetMode="External"/><Relationship Id="rId772" Type="http://schemas.openxmlformats.org/officeDocument/2006/relationships/hyperlink" Target="https://mega.nz/file/zNECxLAZ" TargetMode="External"/><Relationship Id="rId773" Type="http://schemas.openxmlformats.org/officeDocument/2006/relationships/hyperlink" Target="https://mega.nz/file/DI9nhC6S" TargetMode="External"/><Relationship Id="rId774" Type="http://schemas.openxmlformats.org/officeDocument/2006/relationships/hyperlink" Target="https://mega.nz/file/aF8zFDwT" TargetMode="External"/><Relationship Id="rId775" Type="http://schemas.openxmlformats.org/officeDocument/2006/relationships/hyperlink" Target="https://mega.nz/file/3QchgLZJ" TargetMode="External"/><Relationship Id="rId776" Type="http://schemas.openxmlformats.org/officeDocument/2006/relationships/hyperlink" Target="https://mega.nz/file/KUUhELiY" TargetMode="External"/><Relationship Id="rId777" Type="http://schemas.openxmlformats.org/officeDocument/2006/relationships/hyperlink" Target="https://mega.nz/file/SJV23CTZ" TargetMode="External"/><Relationship Id="rId778" Type="http://schemas.openxmlformats.org/officeDocument/2006/relationships/hyperlink" Target="https://mega.nz/file/yVlXSZiJ" TargetMode="External"/><Relationship Id="rId779" Type="http://schemas.openxmlformats.org/officeDocument/2006/relationships/hyperlink" Target="https://mega.nz/file/rI9zyRJa" TargetMode="External"/><Relationship Id="rId780" Type="http://schemas.openxmlformats.org/officeDocument/2006/relationships/hyperlink" Target="https://mega.nz/file/jNEHzYAS" TargetMode="External"/><Relationship Id="rId781" Type="http://schemas.openxmlformats.org/officeDocument/2006/relationships/hyperlink" Target="https://mega.nz/file/eEsigKqQ" TargetMode="External"/><Relationship Id="rId782" Type="http://schemas.openxmlformats.org/officeDocument/2006/relationships/hyperlink" Target="https://mega.nz/file/vMFzlaaR" TargetMode="External"/><Relationship Id="rId783" Type="http://schemas.openxmlformats.org/officeDocument/2006/relationships/hyperlink" Target="https://mega.nz/file/mE9QhBQR" TargetMode="External"/><Relationship Id="rId784" Type="http://schemas.openxmlformats.org/officeDocument/2006/relationships/hyperlink" Target="https://mega.nz/file/WMEgGbwb" TargetMode="External"/><Relationship Id="rId785" Type="http://schemas.openxmlformats.org/officeDocument/2006/relationships/hyperlink" Target="https://mega.nz/file/GcMH3TaY" TargetMode="External"/><Relationship Id="rId786" Type="http://schemas.openxmlformats.org/officeDocument/2006/relationships/hyperlink" Target="https://mega.nz/file/vJsGjYBb" TargetMode="External"/><Relationship Id="rId787" Type="http://schemas.openxmlformats.org/officeDocument/2006/relationships/hyperlink" Target="https://mega.nz/file/3ZdmUY6L" TargetMode="External"/><Relationship Id="rId788" Type="http://schemas.openxmlformats.org/officeDocument/2006/relationships/hyperlink" Target="https://mega.nz/file/WA0QkCDb" TargetMode="External"/><Relationship Id="rId789" Type="http://schemas.openxmlformats.org/officeDocument/2006/relationships/hyperlink" Target="https://mega.nz/file/CZ1EwYDI" TargetMode="External"/><Relationship Id="rId790" Type="http://schemas.openxmlformats.org/officeDocument/2006/relationships/hyperlink" Target="https://mega.nz/file/yBl0jIib" TargetMode="External"/><Relationship Id="rId791" Type="http://schemas.openxmlformats.org/officeDocument/2006/relationships/hyperlink" Target="https://mega.nz/file/uA1VyBLI" TargetMode="External"/><Relationship Id="rId792" Type="http://schemas.openxmlformats.org/officeDocument/2006/relationships/hyperlink" Target="https://mega.nz/file/HVlDhbLC" TargetMode="External"/><Relationship Id="rId793" Type="http://schemas.openxmlformats.org/officeDocument/2006/relationships/hyperlink" Target="https://mega.nz/file/rc9AjBLL" TargetMode="External"/><Relationship Id="rId794" Type="http://schemas.openxmlformats.org/officeDocument/2006/relationships/hyperlink" Target="https://mega.nz/file/iVFDVArZ" TargetMode="External"/><Relationship Id="rId795" Type="http://schemas.openxmlformats.org/officeDocument/2006/relationships/hyperlink" Target="https://mega.nz/file/eAkQxbhB" TargetMode="External"/><Relationship Id="rId796" Type="http://schemas.openxmlformats.org/officeDocument/2006/relationships/hyperlink" Target="https://mega.nz/file/mAsFUKLB" TargetMode="External"/><Relationship Id="rId797" Type="http://schemas.openxmlformats.org/officeDocument/2006/relationships/hyperlink" Target="https://mega.nz/file/PR9QRKDQ" TargetMode="External"/><Relationship Id="rId798" Type="http://schemas.openxmlformats.org/officeDocument/2006/relationships/hyperlink" Target="https://mega.nz/file/nBVEAb5I" TargetMode="External"/><Relationship Id="rId799" Type="http://schemas.openxmlformats.org/officeDocument/2006/relationships/hyperlink" Target="https://mega.nz/file/6BMhSLIR" TargetMode="External"/><Relationship Id="rId800" Type="http://schemas.openxmlformats.org/officeDocument/2006/relationships/hyperlink" Target="https://mega.nz/file/fBVhjaJC" TargetMode="External"/><Relationship Id="rId801" Type="http://schemas.openxmlformats.org/officeDocument/2006/relationships/hyperlink" Target="https://mega.nz/file/LN0RTQpT" TargetMode="External"/><Relationship Id="rId802" Type="http://schemas.openxmlformats.org/officeDocument/2006/relationships/hyperlink" Target="https://mega.nz/file/CYEG1IxQ" TargetMode="External"/><Relationship Id="rId803" Type="http://schemas.openxmlformats.org/officeDocument/2006/relationships/hyperlink" Target="https://mega.nz/file/2JMjFYLS" TargetMode="External"/><Relationship Id="rId804" Type="http://schemas.openxmlformats.org/officeDocument/2006/relationships/hyperlink" Target="https://mega.nz/file/6clmnICB" TargetMode="External"/><Relationship Id="rId805" Type="http://schemas.openxmlformats.org/officeDocument/2006/relationships/hyperlink" Target="https://mega.nz/file/2A8H1AbT" TargetMode="External"/><Relationship Id="rId806" Type="http://schemas.openxmlformats.org/officeDocument/2006/relationships/hyperlink" Target="https://mega.nz/file/SdsAlYhL" TargetMode="External"/><Relationship Id="rId807" Type="http://schemas.openxmlformats.org/officeDocument/2006/relationships/hyperlink" Target="https://mega.nz/file/3FEzmB4B" TargetMode="External"/><Relationship Id="rId808" Type="http://schemas.openxmlformats.org/officeDocument/2006/relationships/hyperlink" Target="https://mega.nz/file/bJN1ATAa" TargetMode="External"/><Relationship Id="rId809" Type="http://schemas.openxmlformats.org/officeDocument/2006/relationships/hyperlink" Target="https://mega.nz/file/iN8jmbIb" TargetMode="External"/><Relationship Id="rId810" Type="http://schemas.openxmlformats.org/officeDocument/2006/relationships/hyperlink" Target="https://mega.nz/file/iVtCUS4K" TargetMode="External"/><Relationship Id="rId811" Type="http://schemas.openxmlformats.org/officeDocument/2006/relationships/hyperlink" Target="https://mega.nz/file/nJk1xDpQ" TargetMode="External"/><Relationship Id="rId812" Type="http://schemas.openxmlformats.org/officeDocument/2006/relationships/hyperlink" Target="https://mega.nz/file/OJsDECgI" TargetMode="External"/><Relationship Id="rId813" Type="http://schemas.openxmlformats.org/officeDocument/2006/relationships/hyperlink" Target="https://mega.nz/file/nEFiBZSB" TargetMode="External"/><Relationship Id="rId814" Type="http://schemas.openxmlformats.org/officeDocument/2006/relationships/hyperlink" Target="https://mega.nz/file/vR9VjSgJ" TargetMode="External"/><Relationship Id="rId815" Type="http://schemas.openxmlformats.org/officeDocument/2006/relationships/hyperlink" Target="https://mega.nz/file/SEtijZRL" TargetMode="External"/><Relationship Id="rId816" Type="http://schemas.openxmlformats.org/officeDocument/2006/relationships/hyperlink" Target="https://mega.nz/file/yBFXlAAZ" TargetMode="External"/><Relationship Id="rId817" Type="http://schemas.openxmlformats.org/officeDocument/2006/relationships/hyperlink" Target="https://mega.nz/file/zdNGQRRR" TargetMode="External"/><Relationship Id="rId818" Type="http://schemas.openxmlformats.org/officeDocument/2006/relationships/hyperlink" Target="https://mega.nz/file/rAdFyRrR" TargetMode="External"/><Relationship Id="rId819" Type="http://schemas.openxmlformats.org/officeDocument/2006/relationships/hyperlink" Target="https://mega.nz/file/jEcnlBZI" TargetMode="External"/><Relationship Id="rId820" Type="http://schemas.openxmlformats.org/officeDocument/2006/relationships/hyperlink" Target="https://mega.nz/file/6d8TULJA" TargetMode="External"/><Relationship Id="rId821" Type="http://schemas.openxmlformats.org/officeDocument/2006/relationships/hyperlink" Target="https://mega.nz/file/KE8j1CSb" TargetMode="External"/><Relationship Id="rId822" Type="http://schemas.openxmlformats.org/officeDocument/2006/relationships/hyperlink" Target="https://mega.nz/file/TdV2jRYB" TargetMode="External"/><Relationship Id="rId823" Type="http://schemas.openxmlformats.org/officeDocument/2006/relationships/hyperlink" Target="https://mega.nz/file/PFtnBIzC" TargetMode="External"/><Relationship Id="rId824" Type="http://schemas.openxmlformats.org/officeDocument/2006/relationships/hyperlink" Target="https://mega.nz/file/WB8yWbyT" TargetMode="External"/><Relationship Id="rId825" Type="http://schemas.openxmlformats.org/officeDocument/2006/relationships/hyperlink" Target="https://mega.nz/file/eBdx3a6D" TargetMode="External"/><Relationship Id="rId826" Type="http://schemas.openxmlformats.org/officeDocument/2006/relationships/hyperlink" Target="https://mega.nz/file/vFNXkQJB" TargetMode="External"/><Relationship Id="rId827" Type="http://schemas.openxmlformats.org/officeDocument/2006/relationships/hyperlink" Target="https://mega.nz/file/nF0CgbCA" TargetMode="External"/><Relationship Id="rId828" Type="http://schemas.openxmlformats.org/officeDocument/2006/relationships/hyperlink" Target="https://mega.nz/file/eEc0QBCZ" TargetMode="External"/><Relationship Id="rId829" Type="http://schemas.openxmlformats.org/officeDocument/2006/relationships/hyperlink" Target="https://mega.nz/file/TcdjQQaA" TargetMode="External"/><Relationship Id="rId830" Type="http://schemas.openxmlformats.org/officeDocument/2006/relationships/hyperlink" Target="https://mega.nz/file/yUswyIIK" TargetMode="External"/><Relationship Id="rId831" Type="http://schemas.openxmlformats.org/officeDocument/2006/relationships/hyperlink" Target="https://mega.nz/file/WY1FnDrB" TargetMode="External"/><Relationship Id="rId832" Type="http://schemas.openxmlformats.org/officeDocument/2006/relationships/hyperlink" Target="https://mega.nz/file/6EtHTQDT" TargetMode="External"/><Relationship Id="rId833" Type="http://schemas.openxmlformats.org/officeDocument/2006/relationships/hyperlink" Target="https://mega.nz/file/CE0EwLQI" TargetMode="External"/><Relationship Id="rId834" Type="http://schemas.openxmlformats.org/officeDocument/2006/relationships/hyperlink" Target="https://mega.nz/file/3RFAlJLR" TargetMode="External"/><Relationship Id="rId835" Type="http://schemas.openxmlformats.org/officeDocument/2006/relationships/hyperlink" Target="https://mega.nz/file/fEtgQLrT" TargetMode="External"/><Relationship Id="rId836" Type="http://schemas.openxmlformats.org/officeDocument/2006/relationships/hyperlink" Target="https://mega.nz/file/bd1wyLwQ" TargetMode="External"/><Relationship Id="rId837" Type="http://schemas.openxmlformats.org/officeDocument/2006/relationships/hyperlink" Target="https://mega.nz/file/ucM1iTDL" TargetMode="External"/><Relationship Id="rId838" Type="http://schemas.openxmlformats.org/officeDocument/2006/relationships/hyperlink" Target="https://mega.nz/file/PVsSBZTT" TargetMode="External"/><Relationship Id="rId839" Type="http://schemas.openxmlformats.org/officeDocument/2006/relationships/hyperlink" Target="https://mega.nz/file/LZcBxTyQ" TargetMode="External"/><Relationship Id="rId840" Type="http://schemas.openxmlformats.org/officeDocument/2006/relationships/hyperlink" Target="https://mega.nz/file/2N1HBZQI" TargetMode="External"/><Relationship Id="rId841" Type="http://schemas.openxmlformats.org/officeDocument/2006/relationships/hyperlink" Target="https://mega.nz/file/uQ11iYhS" TargetMode="External"/><Relationship Id="rId842" Type="http://schemas.openxmlformats.org/officeDocument/2006/relationships/hyperlink" Target="https://mega.nz/file/qAFwiQwA" TargetMode="External"/><Relationship Id="rId843" Type="http://schemas.openxmlformats.org/officeDocument/2006/relationships/hyperlink" Target="https://mega.nz/file/XVdgRTID" TargetMode="External"/><Relationship Id="rId844" Type="http://schemas.openxmlformats.org/officeDocument/2006/relationships/hyperlink" Target="https://mega.nz/file/PN8GRRYJ" TargetMode="External"/><Relationship Id="rId845" Type="http://schemas.openxmlformats.org/officeDocument/2006/relationships/hyperlink" Target="https://mega.nz/file/qJc1FRwC" TargetMode="External"/><Relationship Id="rId846" Type="http://schemas.openxmlformats.org/officeDocument/2006/relationships/hyperlink" Target="https://mega.nz/file/bE1zAZrZ" TargetMode="External"/><Relationship Id="rId847" Type="http://schemas.openxmlformats.org/officeDocument/2006/relationships/hyperlink" Target="https://mega.nz/file/OVNGjART" TargetMode="External"/><Relationship Id="rId848" Type="http://schemas.openxmlformats.org/officeDocument/2006/relationships/hyperlink" Target="https://mega.nz/file/LJ0GCRYJ" TargetMode="External"/><Relationship Id="rId849" Type="http://schemas.openxmlformats.org/officeDocument/2006/relationships/hyperlink" Target="https://mega.nz/file/yFUQiCrZ" TargetMode="External"/><Relationship Id="rId850" Type="http://schemas.openxmlformats.org/officeDocument/2006/relationships/hyperlink" Target="https://mega.nz/file/zdF1AK5Y" TargetMode="External"/><Relationship Id="rId851" Type="http://schemas.openxmlformats.org/officeDocument/2006/relationships/hyperlink" Target="https://mega.nz/file/qAEgTZyI" TargetMode="External"/><Relationship Id="rId852" Type="http://schemas.openxmlformats.org/officeDocument/2006/relationships/hyperlink" Target="https://mega.nz/file/TJFgyYKC" TargetMode="External"/><Relationship Id="rId853" Type="http://schemas.openxmlformats.org/officeDocument/2006/relationships/hyperlink" Target="https://mega.nz/file/yUlWVIQI" TargetMode="External"/><Relationship Id="rId854" Type="http://schemas.openxmlformats.org/officeDocument/2006/relationships/hyperlink" Target="https://mega.nz/file/SVEAxaAD" TargetMode="External"/><Relationship Id="rId855" Type="http://schemas.openxmlformats.org/officeDocument/2006/relationships/hyperlink" Target="https://mega.nz/file/iV1EyK5L" TargetMode="External"/><Relationship Id="rId856" Type="http://schemas.openxmlformats.org/officeDocument/2006/relationships/hyperlink" Target="https://mega.nz/file/rVsXFD7Q" TargetMode="External"/><Relationship Id="rId857" Type="http://schemas.openxmlformats.org/officeDocument/2006/relationships/hyperlink" Target="https://mega.nz/file/2I8yhRRC" TargetMode="External"/><Relationship Id="rId858" Type="http://schemas.openxmlformats.org/officeDocument/2006/relationships/hyperlink" Target="https://mega.nz/file/PAFzkB5A" TargetMode="External"/><Relationship Id="rId859" Type="http://schemas.openxmlformats.org/officeDocument/2006/relationships/hyperlink" Target="https://mega.nz/file/uYFlCTKQ" TargetMode="External"/><Relationship Id="rId860" Type="http://schemas.openxmlformats.org/officeDocument/2006/relationships/hyperlink" Target="https://mega.nz/file/CdkQUbDb" TargetMode="External"/><Relationship Id="rId861" Type="http://schemas.openxmlformats.org/officeDocument/2006/relationships/hyperlink" Target="https://mega.nz/file/2dtV3RYD" TargetMode="External"/><Relationship Id="rId862" Type="http://schemas.openxmlformats.org/officeDocument/2006/relationships/hyperlink" Target="https://mega.nz/file/WJcmBBrK" TargetMode="External"/><Relationship Id="rId863" Type="http://schemas.openxmlformats.org/officeDocument/2006/relationships/hyperlink" Target="https://mega.nz/file/WREAhQAC" TargetMode="External"/><Relationship Id="rId864" Type="http://schemas.openxmlformats.org/officeDocument/2006/relationships/hyperlink" Target="https://mega.nz/file/6ZVQ0aDA" TargetMode="External"/><Relationship Id="rId865" Type="http://schemas.openxmlformats.org/officeDocument/2006/relationships/hyperlink" Target="https://mega.nz/file/SYMyCBjT" TargetMode="External"/><Relationship Id="rId866" Type="http://schemas.openxmlformats.org/officeDocument/2006/relationships/hyperlink" Target="https://mega.nz/file/jYl1CKLY" TargetMode="External"/><Relationship Id="rId867" Type="http://schemas.openxmlformats.org/officeDocument/2006/relationships/hyperlink" Target="https://mega.nz/file/yBlmALhY" TargetMode="External"/><Relationship Id="rId868" Type="http://schemas.openxmlformats.org/officeDocument/2006/relationships/hyperlink" Target="https://mega.nz/file/WRVWFKQK" TargetMode="External"/><Relationship Id="rId869" Type="http://schemas.openxmlformats.org/officeDocument/2006/relationships/hyperlink" Target="https://mega.nz/file/TUVwSZgK" TargetMode="External"/><Relationship Id="rId870" Type="http://schemas.openxmlformats.org/officeDocument/2006/relationships/hyperlink" Target="https://mega.nz/file/3Y8QFAZB" TargetMode="External"/><Relationship Id="rId871" Type="http://schemas.openxmlformats.org/officeDocument/2006/relationships/hyperlink" Target="https://mega.nz/file/fMcnWbLa" TargetMode="External"/><Relationship Id="rId872" Type="http://schemas.openxmlformats.org/officeDocument/2006/relationships/hyperlink" Target="https://mega.nz/file/6VUwnToL" TargetMode="External"/><Relationship Id="rId873" Type="http://schemas.openxmlformats.org/officeDocument/2006/relationships/hyperlink" Target="https://mega.nz/file/idtHkLwL" TargetMode="External"/><Relationship Id="rId874" Type="http://schemas.openxmlformats.org/officeDocument/2006/relationships/hyperlink" Target="https://mega.nz/file/3MN1nBoT" TargetMode="External"/><Relationship Id="rId875" Type="http://schemas.openxmlformats.org/officeDocument/2006/relationships/hyperlink" Target="https://mega.nz/file/HdsASCDY" TargetMode="External"/><Relationship Id="rId876" Type="http://schemas.openxmlformats.org/officeDocument/2006/relationships/hyperlink" Target="https://mega.nz/file/iZMVwbKS" TargetMode="External"/><Relationship Id="rId877" Type="http://schemas.openxmlformats.org/officeDocument/2006/relationships/hyperlink" Target="https://mega.nz/file/LVFhCI5K" TargetMode="External"/><Relationship Id="rId878" Type="http://schemas.openxmlformats.org/officeDocument/2006/relationships/hyperlink" Target="https://mega.nz/file/3JdEFCKY" TargetMode="External"/><Relationship Id="rId879" Type="http://schemas.openxmlformats.org/officeDocument/2006/relationships/hyperlink" Target="https://mega.nz/file/zU8SRJgB" TargetMode="External"/><Relationship Id="rId880" Type="http://schemas.openxmlformats.org/officeDocument/2006/relationships/hyperlink" Target="https://mega.nz/file/2JMniRCa" TargetMode="External"/><Relationship Id="rId881" Type="http://schemas.openxmlformats.org/officeDocument/2006/relationships/hyperlink" Target="https://mega.nz/file/zJNkmbyD" TargetMode="External"/><Relationship Id="rId882" Type="http://schemas.openxmlformats.org/officeDocument/2006/relationships/hyperlink" Target="https://mega.nz/file/KdcRVZha" TargetMode="External"/><Relationship Id="rId883" Type="http://schemas.openxmlformats.org/officeDocument/2006/relationships/hyperlink" Target="https://mega.nz/file/nA9BVQSB" TargetMode="External"/><Relationship Id="rId884" Type="http://schemas.openxmlformats.org/officeDocument/2006/relationships/hyperlink" Target="https://mega.nz/file/fNdSXApQ" TargetMode="External"/><Relationship Id="rId885" Type="http://schemas.openxmlformats.org/officeDocument/2006/relationships/hyperlink" Target="https://mega.nz/file/iF91RIoY" TargetMode="External"/><Relationship Id="rId886" Type="http://schemas.openxmlformats.org/officeDocument/2006/relationships/hyperlink" Target="https://mega.nz/file/qYsBjJrL" TargetMode="External"/><Relationship Id="rId887" Type="http://schemas.openxmlformats.org/officeDocument/2006/relationships/hyperlink" Target="https://mega.nz/file/PR1GlJQY" TargetMode="External"/><Relationship Id="rId888" Type="http://schemas.openxmlformats.org/officeDocument/2006/relationships/hyperlink" Target="https://mega.nz/file/qcMFATKa" TargetMode="External"/><Relationship Id="rId889" Type="http://schemas.openxmlformats.org/officeDocument/2006/relationships/hyperlink" Target="https://mega.nz/file/bEl1RSQZ" TargetMode="External"/><Relationship Id="rId890" Type="http://schemas.openxmlformats.org/officeDocument/2006/relationships/hyperlink" Target="https://mega.nz/file/jUUhBaaA" TargetMode="External"/><Relationship Id="rId891" Type="http://schemas.openxmlformats.org/officeDocument/2006/relationships/hyperlink" Target="https://mega.nz/file/WRsEWJTR" TargetMode="External"/><Relationship Id="rId892" Type="http://schemas.openxmlformats.org/officeDocument/2006/relationships/hyperlink" Target="https://mega.nz/file/OBFCmC5K" TargetMode="External"/><Relationship Id="rId893" Type="http://schemas.openxmlformats.org/officeDocument/2006/relationships/hyperlink" Target="https://mega.nz/file/6Edh3C7K" TargetMode="External"/><Relationship Id="rId894" Type="http://schemas.openxmlformats.org/officeDocument/2006/relationships/hyperlink" Target="https://mega.nz/file/LVsgnCCb" TargetMode="External"/><Relationship Id="rId895" Type="http://schemas.openxmlformats.org/officeDocument/2006/relationships/hyperlink" Target="https://mega.nz/file/HUkQGBYA" TargetMode="External"/><Relationship Id="rId896" Type="http://schemas.openxmlformats.org/officeDocument/2006/relationships/hyperlink" Target="https://mega.nz/file/vNNiSRJI" TargetMode="External"/><Relationship Id="rId897" Type="http://schemas.openxmlformats.org/officeDocument/2006/relationships/hyperlink" Target="https://mega.nz/file/jQNG1JpB" TargetMode="External"/><Relationship Id="rId898" Type="http://schemas.openxmlformats.org/officeDocument/2006/relationships/hyperlink" Target="https://mega.nz/file/PR8XxYAJ" TargetMode="External"/><Relationship Id="rId899" Type="http://schemas.openxmlformats.org/officeDocument/2006/relationships/hyperlink" Target="https://mega.nz/file/fNFERKLD" TargetMode="External"/><Relationship Id="rId900" Type="http://schemas.openxmlformats.org/officeDocument/2006/relationships/hyperlink" Target="https://mega.nz/file/DY01kLqT" TargetMode="External"/><Relationship Id="rId901" Type="http://schemas.openxmlformats.org/officeDocument/2006/relationships/hyperlink" Target="https://mega.nz/file/bdc2xIoS" TargetMode="External"/><Relationship Id="rId902" Type="http://schemas.openxmlformats.org/officeDocument/2006/relationships/hyperlink" Target="https://mega.nz/file/KMEixTAC" TargetMode="External"/><Relationship Id="rId903" Type="http://schemas.openxmlformats.org/officeDocument/2006/relationships/hyperlink" Target="https://mega.nz/file/DFFkDb5B" TargetMode="External"/><Relationship Id="rId904" Type="http://schemas.openxmlformats.org/officeDocument/2006/relationships/hyperlink" Target="https://mega.nz/file/GAsTkCBT" TargetMode="External"/><Relationship Id="rId905" Type="http://schemas.openxmlformats.org/officeDocument/2006/relationships/hyperlink" Target="https://mega.nz/file/6V8C2bCK" TargetMode="External"/><Relationship Id="rId906" Type="http://schemas.openxmlformats.org/officeDocument/2006/relationships/hyperlink" Target="https://mega.nz/file/WRsSDATR" TargetMode="External"/><Relationship Id="rId907" Type="http://schemas.openxmlformats.org/officeDocument/2006/relationships/hyperlink" Target="https://mega.nz/file/WEk0DahD" TargetMode="External"/><Relationship Id="rId908" Type="http://schemas.openxmlformats.org/officeDocument/2006/relationships/hyperlink" Target="https://mega.nz/file/mI8VlYZD" TargetMode="External"/><Relationship Id="rId909" Type="http://schemas.openxmlformats.org/officeDocument/2006/relationships/hyperlink" Target="https://mega.nz/file/HYkSQIYZ" TargetMode="External"/><Relationship Id="rId910" Type="http://schemas.openxmlformats.org/officeDocument/2006/relationships/hyperlink" Target="https://mega.nz/file/eVVWgLyQ" TargetMode="External"/><Relationship Id="rId911" Type="http://schemas.openxmlformats.org/officeDocument/2006/relationships/hyperlink" Target="https://mega.nz/file/TJk2xKjZ" TargetMode="External"/><Relationship Id="rId912" Type="http://schemas.openxmlformats.org/officeDocument/2006/relationships/hyperlink" Target="https://mega.nz/file/XAUQGABa" TargetMode="External"/><Relationship Id="rId913" Type="http://schemas.openxmlformats.org/officeDocument/2006/relationships/hyperlink" Target="https://mega.nz/file/aJVjQYhR" TargetMode="External"/><Relationship Id="rId914" Type="http://schemas.openxmlformats.org/officeDocument/2006/relationships/hyperlink" Target="https://mega.nz/file/TIlnFbaI" TargetMode="External"/><Relationship Id="rId915" Type="http://schemas.openxmlformats.org/officeDocument/2006/relationships/hyperlink" Target="https://mega.nz/file/3EEThIZK" TargetMode="External"/><Relationship Id="rId916" Type="http://schemas.openxmlformats.org/officeDocument/2006/relationships/hyperlink" Target="https://mega.nz/file/rJNXWTDB" TargetMode="External"/><Relationship Id="rId917" Type="http://schemas.openxmlformats.org/officeDocument/2006/relationships/hyperlink" Target="https://mega.nz/file/aR0niKqJ" TargetMode="External"/><Relationship Id="rId918" Type="http://schemas.openxmlformats.org/officeDocument/2006/relationships/hyperlink" Target="https://mega.nz/file/7Z1xQIyQ" TargetMode="External"/><Relationship Id="rId919" Type="http://schemas.openxmlformats.org/officeDocument/2006/relationships/hyperlink" Target="https://mega.nz/file/eBtEQaIQ" TargetMode="External"/><Relationship Id="rId920" Type="http://schemas.openxmlformats.org/officeDocument/2006/relationships/hyperlink" Target="https://mega.nz/file/vYMAHRwT" TargetMode="External"/><Relationship Id="rId921" Type="http://schemas.openxmlformats.org/officeDocument/2006/relationships/hyperlink" Target="https://mega.nz/file/mE8D0Jia" TargetMode="External"/><Relationship Id="rId922" Type="http://schemas.openxmlformats.org/officeDocument/2006/relationships/hyperlink" Target="https://mega.nz/file/DQtnQKiC" TargetMode="External"/><Relationship Id="rId923" Type="http://schemas.openxmlformats.org/officeDocument/2006/relationships/hyperlink" Target="https://mega.nz/file/7JNgEaAR" TargetMode="External"/><Relationship Id="rId924" Type="http://schemas.openxmlformats.org/officeDocument/2006/relationships/hyperlink" Target="https://mega.nz/file/SNEwVaQL" TargetMode="External"/><Relationship Id="rId925" Type="http://schemas.openxmlformats.org/officeDocument/2006/relationships/hyperlink" Target="https://mega.nz/file/TEMQkBIY" TargetMode="External"/><Relationship Id="rId926" Type="http://schemas.openxmlformats.org/officeDocument/2006/relationships/hyperlink" Target="https://mega.nz/file/SdcnnBQY" TargetMode="External"/><Relationship Id="rId927" Type="http://schemas.openxmlformats.org/officeDocument/2006/relationships/hyperlink" Target="https://mega.nz/file/vJtyQBgY" TargetMode="External"/><Relationship Id="rId928" Type="http://schemas.openxmlformats.org/officeDocument/2006/relationships/hyperlink" Target="https://mega.nz/file/PUs1lICY" TargetMode="External"/><Relationship Id="rId929" Type="http://schemas.openxmlformats.org/officeDocument/2006/relationships/hyperlink" Target="https://mega.nz/file/XM9S2ahB" TargetMode="External"/><Relationship Id="rId930" Type="http://schemas.openxmlformats.org/officeDocument/2006/relationships/hyperlink" Target="https://mega.nz/file/3YV10KgY" TargetMode="External"/><Relationship Id="rId931" Type="http://schemas.openxmlformats.org/officeDocument/2006/relationships/hyperlink" Target="https://mega.nz/file/uFsyDDSR" TargetMode="External"/><Relationship Id="rId932" Type="http://schemas.openxmlformats.org/officeDocument/2006/relationships/hyperlink" Target="https://mega.nz/file/mMcjVKJJ" TargetMode="External"/><Relationship Id="rId933" Type="http://schemas.openxmlformats.org/officeDocument/2006/relationships/hyperlink" Target="https://mega.nz/file/TVtH0IYC" TargetMode="External"/><Relationship Id="rId934" Type="http://schemas.openxmlformats.org/officeDocument/2006/relationships/hyperlink" Target="https://mega.nz/file/bJ8xibja" TargetMode="External"/><Relationship Id="rId935" Type="http://schemas.openxmlformats.org/officeDocument/2006/relationships/hyperlink" Target="https://mega.nz/file/zQklVJyS" TargetMode="External"/><Relationship Id="rId936" Type="http://schemas.openxmlformats.org/officeDocument/2006/relationships/hyperlink" Target="https://mega.nz/file/bM0CTZLL" TargetMode="External"/><Relationship Id="rId937" Type="http://schemas.openxmlformats.org/officeDocument/2006/relationships/hyperlink" Target="https://mega.nz/file/ORUkhZRA" TargetMode="External"/><Relationship Id="rId938" Type="http://schemas.openxmlformats.org/officeDocument/2006/relationships/hyperlink" Target="https://mega.nz/file/rYMFwCZa" TargetMode="External"/><Relationship Id="rId939" Type="http://schemas.openxmlformats.org/officeDocument/2006/relationships/hyperlink" Target="https://mega.nz/file/DMlgSKJa" TargetMode="External"/><Relationship Id="rId940" Type="http://schemas.openxmlformats.org/officeDocument/2006/relationships/hyperlink" Target="https://mega.nz/file/eINDXI6R" TargetMode="External"/><Relationship Id="rId941" Type="http://schemas.openxmlformats.org/officeDocument/2006/relationships/hyperlink" Target="https://mega.nz/file/aRMwBSya" TargetMode="External"/><Relationship Id="rId942" Type="http://schemas.openxmlformats.org/officeDocument/2006/relationships/hyperlink" Target="https://mega.nz/file/uYEHzAwa" TargetMode="External"/><Relationship Id="rId943" Type="http://schemas.openxmlformats.org/officeDocument/2006/relationships/hyperlink" Target="https://mega.nz/file/aR8h3RAa" TargetMode="External"/><Relationship Id="rId944" Type="http://schemas.openxmlformats.org/officeDocument/2006/relationships/hyperlink" Target="https://mega.nz/file/jI9l1CiB" TargetMode="External"/><Relationship Id="rId945" Type="http://schemas.openxmlformats.org/officeDocument/2006/relationships/hyperlink" Target="https://mega.nz/file/KJ0HRDxY" TargetMode="External"/><Relationship Id="rId946" Type="http://schemas.openxmlformats.org/officeDocument/2006/relationships/hyperlink" Target="https://mega.nz/file/bJ8RkbKY" TargetMode="External"/><Relationship Id="rId947" Type="http://schemas.openxmlformats.org/officeDocument/2006/relationships/hyperlink" Target="https://mega.nz/file/yFcQgRSK" TargetMode="External"/><Relationship Id="rId948" Type="http://schemas.openxmlformats.org/officeDocument/2006/relationships/hyperlink" Target="https://mega.nz/file/fFUwGYbI" TargetMode="External"/><Relationship Id="rId949" Type="http://schemas.openxmlformats.org/officeDocument/2006/relationships/hyperlink" Target="https://mega.nz/file/aV0yTRzL" TargetMode="External"/><Relationship Id="rId950" Type="http://schemas.openxmlformats.org/officeDocument/2006/relationships/hyperlink" Target="https://mega.nz/file/eAsjhYyZ" TargetMode="External"/><Relationship Id="rId951" Type="http://schemas.openxmlformats.org/officeDocument/2006/relationships/hyperlink" Target="https://mega.nz/file/PIlByagZ" TargetMode="External"/><Relationship Id="rId952" Type="http://schemas.openxmlformats.org/officeDocument/2006/relationships/hyperlink" Target="https://mega.nz/file/nZU1zQyZ" TargetMode="External"/><Relationship Id="rId953" Type="http://schemas.openxmlformats.org/officeDocument/2006/relationships/hyperlink" Target="https://mega.nz/file/CcNlVDyA" TargetMode="External"/><Relationship Id="rId954" Type="http://schemas.openxmlformats.org/officeDocument/2006/relationships/hyperlink" Target="https://mega.nz/file/PIlV1SgI" TargetMode="External"/><Relationship Id="rId955" Type="http://schemas.openxmlformats.org/officeDocument/2006/relationships/hyperlink" Target="https://mega.nz/file/jck00ZSI" TargetMode="External"/><Relationship Id="rId956" Type="http://schemas.openxmlformats.org/officeDocument/2006/relationships/hyperlink" Target="https://mega.nz/file/mIEhFS6L" TargetMode="External"/><Relationship Id="rId957" Type="http://schemas.openxmlformats.org/officeDocument/2006/relationships/hyperlink" Target="https://mega.nz/file/jEtSjBCJ" TargetMode="External"/><Relationship Id="rId958" Type="http://schemas.openxmlformats.org/officeDocument/2006/relationships/hyperlink" Target="https://mega.nz/file/iMs3WQLQ" TargetMode="External"/><Relationship Id="rId959" Type="http://schemas.openxmlformats.org/officeDocument/2006/relationships/hyperlink" Target="https://mega.nz/file/WUUSxJ5I" TargetMode="External"/><Relationship Id="rId960" Type="http://schemas.openxmlformats.org/officeDocument/2006/relationships/hyperlink" Target="https://mega.nz/file/LNEwBTrA" TargetMode="External"/><Relationship Id="rId961" Type="http://schemas.openxmlformats.org/officeDocument/2006/relationships/hyperlink" Target="https://mega.nz/file/DR0gGLZC" TargetMode="External"/><Relationship Id="rId962" Type="http://schemas.openxmlformats.org/officeDocument/2006/relationships/hyperlink" Target="https://mega.nz/file/CJtHBAIZ" TargetMode="External"/><Relationship Id="rId963" Type="http://schemas.openxmlformats.org/officeDocument/2006/relationships/hyperlink" Target="https://mega.nz/file/bMdTnbpJ" TargetMode="External"/><Relationship Id="rId964" Type="http://schemas.openxmlformats.org/officeDocument/2006/relationships/hyperlink" Target="https://mega.nz/file/WVknnDbB" TargetMode="External"/><Relationship Id="rId965" Type="http://schemas.openxmlformats.org/officeDocument/2006/relationships/hyperlink" Target="https://mega.nz/file/LA922IxR" TargetMode="External"/><Relationship Id="rId966" Type="http://schemas.openxmlformats.org/officeDocument/2006/relationships/hyperlink" Target="https://mega.nz/file/WBsAkSyZ" TargetMode="External"/><Relationship Id="rId967" Type="http://schemas.openxmlformats.org/officeDocument/2006/relationships/hyperlink" Target="https://mega.nz/file/XV9GWK5A" TargetMode="External"/><Relationship Id="rId968" Type="http://schemas.openxmlformats.org/officeDocument/2006/relationships/hyperlink" Target="https://mega.nz/file/jRdAWB6L" TargetMode="External"/><Relationship Id="rId969" Type="http://schemas.openxmlformats.org/officeDocument/2006/relationships/hyperlink" Target="https://mega.nz/file/zd0SSTpI" TargetMode="External"/><Relationship Id="rId970" Type="http://schemas.openxmlformats.org/officeDocument/2006/relationships/hyperlink" Target="https://mega.nz/file/HAtiTQZR" TargetMode="External"/><Relationship Id="rId971" Type="http://schemas.openxmlformats.org/officeDocument/2006/relationships/hyperlink" Target="https://mega.nz/file/zR1SlJbZ" TargetMode="External"/><Relationship Id="rId972" Type="http://schemas.openxmlformats.org/officeDocument/2006/relationships/hyperlink" Target="https://mega.nz/file/CNd2QIwC" TargetMode="External"/><Relationship Id="rId973" Type="http://schemas.openxmlformats.org/officeDocument/2006/relationships/hyperlink" Target="https://mega.nz/file/mU02hDgZ" TargetMode="External"/><Relationship Id="rId974" Type="http://schemas.openxmlformats.org/officeDocument/2006/relationships/hyperlink" Target="https://mega.nz/file/Od0mQISQ" TargetMode="External"/><Relationship Id="rId975" Type="http://schemas.openxmlformats.org/officeDocument/2006/relationships/hyperlink" Target="https://mega.nz/file/DMMwRYJS" TargetMode="External"/><Relationship Id="rId976" Type="http://schemas.openxmlformats.org/officeDocument/2006/relationships/hyperlink" Target="https://mega.nz/file/2ZU3lbDa" TargetMode="External"/><Relationship Id="rId977" Type="http://schemas.openxmlformats.org/officeDocument/2006/relationships/hyperlink" Target="https://mega.nz/file/3NEAiK4R" TargetMode="External"/><Relationship Id="rId978" Type="http://schemas.openxmlformats.org/officeDocument/2006/relationships/hyperlink" Target="https://mega.nz/file/nBtSFKqQ" TargetMode="External"/><Relationship Id="rId979" Type="http://schemas.openxmlformats.org/officeDocument/2006/relationships/hyperlink" Target="https://mega.nz/file/XF9wCA4R" TargetMode="External"/><Relationship Id="rId980" Type="http://schemas.openxmlformats.org/officeDocument/2006/relationships/hyperlink" Target="https://mega.nz/file/KcMm0IIJ" TargetMode="External"/><Relationship Id="rId981" Type="http://schemas.openxmlformats.org/officeDocument/2006/relationships/hyperlink" Target="https://mega.nz/file/6YlQDYwC" TargetMode="External"/><Relationship Id="rId982" Type="http://schemas.openxmlformats.org/officeDocument/2006/relationships/hyperlink" Target="https://mega.nz/file/uZVRxaaK" TargetMode="External"/><Relationship Id="rId983" Type="http://schemas.openxmlformats.org/officeDocument/2006/relationships/hyperlink" Target="https://mega.nz/file/OR1HnSAQ" TargetMode="External"/><Relationship Id="rId984" Type="http://schemas.openxmlformats.org/officeDocument/2006/relationships/hyperlink" Target="https://mega.nz/file/bcEQFIzD" TargetMode="External"/><Relationship Id="rId985" Type="http://schemas.openxmlformats.org/officeDocument/2006/relationships/hyperlink" Target="https://mega.nz/file/yV9SwZaL" TargetMode="External"/><Relationship Id="rId986" Type="http://schemas.openxmlformats.org/officeDocument/2006/relationships/hyperlink" Target="https://mega.nz/file/mM1lBKwC" TargetMode="External"/><Relationship Id="rId987" Type="http://schemas.openxmlformats.org/officeDocument/2006/relationships/hyperlink" Target="https://mega.nz/file/PFVXQRpL" TargetMode="External"/><Relationship Id="rId988" Type="http://schemas.openxmlformats.org/officeDocument/2006/relationships/hyperlink" Target="https://mega.nz/file/PU0xVYrY" TargetMode="External"/><Relationship Id="rId989" Type="http://schemas.openxmlformats.org/officeDocument/2006/relationships/hyperlink" Target="https://mega.nz/file/zUcABYCQ" TargetMode="External"/><Relationship Id="rId990" Type="http://schemas.openxmlformats.org/officeDocument/2006/relationships/hyperlink" Target="https://mega.nz/file/SI8EGYLS" TargetMode="External"/><Relationship Id="rId991" Type="http://schemas.openxmlformats.org/officeDocument/2006/relationships/hyperlink" Target="https://mega.nz/file/nBchHbjb" TargetMode="External"/><Relationship Id="rId992" Type="http://schemas.openxmlformats.org/officeDocument/2006/relationships/hyperlink" Target="https://mega.nz/file/KBcWFD7R" TargetMode="External"/><Relationship Id="rId993" Type="http://schemas.openxmlformats.org/officeDocument/2006/relationships/hyperlink" Target="https://mega.nz/file/fM9U2DAa" TargetMode="External"/><Relationship Id="rId994" Type="http://schemas.openxmlformats.org/officeDocument/2006/relationships/hyperlink" Target="https://mega.nz/file/fJ11TBII" TargetMode="External"/><Relationship Id="rId995" Type="http://schemas.openxmlformats.org/officeDocument/2006/relationships/hyperlink" Target="https://mega.nz/file/7ENw0QKA" TargetMode="External"/><Relationship Id="rId996" Type="http://schemas.openxmlformats.org/officeDocument/2006/relationships/hyperlink" Target="https://mega.nz/file/mQV10RwA" TargetMode="External"/><Relationship Id="rId997" Type="http://schemas.openxmlformats.org/officeDocument/2006/relationships/hyperlink" Target="https://mega.nz/file/CIVFRIjS" TargetMode="External"/><Relationship Id="rId998" Type="http://schemas.openxmlformats.org/officeDocument/2006/relationships/hyperlink" Target="https://mega.nz/file/HAtgAbDD" TargetMode="External"/><Relationship Id="rId999" Type="http://schemas.openxmlformats.org/officeDocument/2006/relationships/hyperlink" Target="https://mega.nz/file/WUEWVR6R" TargetMode="External"/><Relationship Id="rId1000" Type="http://schemas.openxmlformats.org/officeDocument/2006/relationships/hyperlink" Target="https://mega.nz/file/LdUgHDqC" TargetMode="External"/><Relationship Id="rId1001" Type="http://schemas.openxmlformats.org/officeDocument/2006/relationships/hyperlink" Target="https://mega.nz/file/mMNjUSLa" TargetMode="External"/><Relationship Id="rId1002" Type="http://schemas.openxmlformats.org/officeDocument/2006/relationships/hyperlink" Target="https://mega.nz/file/fYFDTSKZ" TargetMode="External"/><Relationship Id="rId1003" Type="http://schemas.openxmlformats.org/officeDocument/2006/relationships/hyperlink" Target="https://mega.nz/file/OBsxzYpQ" TargetMode="External"/><Relationship Id="rId1004" Type="http://schemas.openxmlformats.org/officeDocument/2006/relationships/hyperlink" Target="https://mega.nz/file/CNNjiISA" TargetMode="External"/><Relationship Id="rId1005" Type="http://schemas.openxmlformats.org/officeDocument/2006/relationships/hyperlink" Target="https://mega.nz/file/GI8DBTzQ" TargetMode="External"/><Relationship Id="rId1006" Type="http://schemas.openxmlformats.org/officeDocument/2006/relationships/hyperlink" Target="https://mega.nz/file/DNt1SIpB" TargetMode="External"/><Relationship Id="rId1007" Type="http://schemas.openxmlformats.org/officeDocument/2006/relationships/hyperlink" Target="https://mega.nz/file/aRVjgCzA" TargetMode="External"/><Relationship Id="rId1008" Type="http://schemas.openxmlformats.org/officeDocument/2006/relationships/hyperlink" Target="https://mega.nz/file/XA0AxRDK" TargetMode="External"/><Relationship Id="rId1009" Type="http://schemas.openxmlformats.org/officeDocument/2006/relationships/hyperlink" Target="https://mega.nz/file/mBNkSDLD" TargetMode="External"/><Relationship Id="rId1010" Type="http://schemas.openxmlformats.org/officeDocument/2006/relationships/hyperlink" Target="https://mega.nz/file/OZsCEDoA" TargetMode="External"/><Relationship Id="rId1011" Type="http://schemas.openxmlformats.org/officeDocument/2006/relationships/hyperlink" Target="https://mega.nz/file/DU03ABiB" TargetMode="External"/><Relationship Id="rId1012" Type="http://schemas.openxmlformats.org/officeDocument/2006/relationships/hyperlink" Target="https://mega.nz/file/fQNBAJLR" TargetMode="External"/><Relationship Id="rId1013" Type="http://schemas.openxmlformats.org/officeDocument/2006/relationships/hyperlink" Target="https://mega.nz/file/TJ9QAKJK" TargetMode="External"/><Relationship Id="rId1014" Type="http://schemas.openxmlformats.org/officeDocument/2006/relationships/hyperlink" Target="https://mega.nz/file/CdlnkDgJ" TargetMode="External"/><Relationship Id="rId1015" Type="http://schemas.openxmlformats.org/officeDocument/2006/relationships/hyperlink" Target="https://mega.nz/file/eQk3jaQb" TargetMode="External"/><Relationship Id="rId1016" Type="http://schemas.openxmlformats.org/officeDocument/2006/relationships/hyperlink" Target="https://mega.nz/file/nB0QxCZB" TargetMode="External"/><Relationship Id="rId1017" Type="http://schemas.openxmlformats.org/officeDocument/2006/relationships/hyperlink" Target="https://mega.nz/file/7V9yWKjI" TargetMode="External"/><Relationship Id="rId1018" Type="http://schemas.openxmlformats.org/officeDocument/2006/relationships/hyperlink" Target="https://mega.nz/file/TJ8yiDiT" TargetMode="External"/><Relationship Id="rId1019" Type="http://schemas.openxmlformats.org/officeDocument/2006/relationships/hyperlink" Target="https://mega.nz/file/TN9C1JSZ" TargetMode="External"/><Relationship Id="rId1020" Type="http://schemas.openxmlformats.org/officeDocument/2006/relationships/hyperlink" Target="https://mega.nz/file/aJU2gIyZ" TargetMode="External"/><Relationship Id="rId1021" Type="http://schemas.openxmlformats.org/officeDocument/2006/relationships/hyperlink" Target="https://mega.nz/file/rJ9klBJS" TargetMode="External"/><Relationship Id="rId1022" Type="http://schemas.openxmlformats.org/officeDocument/2006/relationships/hyperlink" Target="https://mega.nz/file/Kc9iECKC" TargetMode="External"/><Relationship Id="rId1023" Type="http://schemas.openxmlformats.org/officeDocument/2006/relationships/hyperlink" Target="https://mega.nz/file/idMQ3QbZ" TargetMode="External"/><Relationship Id="rId1024" Type="http://schemas.openxmlformats.org/officeDocument/2006/relationships/hyperlink" Target="https://mega.nz/file/XNckha7J" TargetMode="External"/><Relationship Id="rId1025" Type="http://schemas.openxmlformats.org/officeDocument/2006/relationships/hyperlink" Target="https://mega.nz/file/bMlikK4Z" TargetMode="External"/><Relationship Id="rId1026" Type="http://schemas.openxmlformats.org/officeDocument/2006/relationships/hyperlink" Target="https://mega.nz/file/2R0BQDxQ" TargetMode="External"/><Relationship Id="rId1027" Type="http://schemas.openxmlformats.org/officeDocument/2006/relationships/hyperlink" Target="https://mega.nz/file/TJ1nFTpY" TargetMode="External"/><Relationship Id="rId1028" Type="http://schemas.openxmlformats.org/officeDocument/2006/relationships/hyperlink" Target="https://mega.nz/file/fF0DDJ7C" TargetMode="External"/><Relationship Id="rId1029" Type="http://schemas.openxmlformats.org/officeDocument/2006/relationships/hyperlink" Target="https://mega.nz/file/nAcXXYII" TargetMode="External"/><Relationship Id="rId1030" Type="http://schemas.openxmlformats.org/officeDocument/2006/relationships/hyperlink" Target="https://mega.nz/file/TNVhUKjL" TargetMode="External"/><Relationship Id="rId1031" Type="http://schemas.openxmlformats.org/officeDocument/2006/relationships/hyperlink" Target="https://mega.nz/file/SF0xgQ5K" TargetMode="External"/><Relationship Id="rId1032" Type="http://schemas.openxmlformats.org/officeDocument/2006/relationships/hyperlink" Target="https://mega.nz/file/SZVFCbqC" TargetMode="External"/><Relationship Id="rId1033" Type="http://schemas.openxmlformats.org/officeDocument/2006/relationships/hyperlink" Target="https://mega.nz/file/yIcH0DTZ" TargetMode="External"/><Relationship Id="rId1034" Type="http://schemas.openxmlformats.org/officeDocument/2006/relationships/hyperlink" Target="https://mega.nz/file/OdF0VTrB" TargetMode="External"/><Relationship Id="rId1035" Type="http://schemas.openxmlformats.org/officeDocument/2006/relationships/hyperlink" Target="https://mega.nz/file/jMEGyYIL" TargetMode="External"/><Relationship Id="rId1036" Type="http://schemas.openxmlformats.org/officeDocument/2006/relationships/hyperlink" Target="https://mega.nz/file/eJk2yZBS" TargetMode="External"/><Relationship Id="rId1037" Type="http://schemas.openxmlformats.org/officeDocument/2006/relationships/hyperlink" Target="https://mega.nz/file/7JE2jTbQ" TargetMode="External"/><Relationship Id="rId1038" Type="http://schemas.openxmlformats.org/officeDocument/2006/relationships/hyperlink" Target="https://mega.nz/file/KcM2yI7Z" TargetMode="External"/><Relationship Id="rId1039" Type="http://schemas.openxmlformats.org/officeDocument/2006/relationships/hyperlink" Target="https://mega.nz/file/ucFUGY7C" TargetMode="External"/><Relationship Id="rId1040" Type="http://schemas.openxmlformats.org/officeDocument/2006/relationships/hyperlink" Target="https://mega.nz/file/eA8zWaJZ" TargetMode="External"/><Relationship Id="rId1041" Type="http://schemas.openxmlformats.org/officeDocument/2006/relationships/hyperlink" Target="https://mega.nz/file/iE9RXD5L" TargetMode="External"/><Relationship Id="rId1042" Type="http://schemas.openxmlformats.org/officeDocument/2006/relationships/hyperlink" Target="https://mega.nz/file/3QN13aJS" TargetMode="External"/><Relationship Id="rId1043" Type="http://schemas.openxmlformats.org/officeDocument/2006/relationships/hyperlink" Target="https://mega.nz/file/bI8R1Rra" TargetMode="External"/><Relationship Id="rId1044" Type="http://schemas.openxmlformats.org/officeDocument/2006/relationships/hyperlink" Target="https://mega.nz/file/3VUySRiJ" TargetMode="External"/><Relationship Id="rId1045" Type="http://schemas.openxmlformats.org/officeDocument/2006/relationships/hyperlink" Target="https://mega.nz/file/yEFE3RwD" TargetMode="External"/><Relationship Id="rId1046" Type="http://schemas.openxmlformats.org/officeDocument/2006/relationships/hyperlink" Target="https://mega.nz/file/zU9jgT6B" TargetMode="External"/><Relationship Id="rId1047" Type="http://schemas.openxmlformats.org/officeDocument/2006/relationships/hyperlink" Target="https://mega.nz/file/7YdRATaQ" TargetMode="External"/><Relationship Id="rId1048" Type="http://schemas.openxmlformats.org/officeDocument/2006/relationships/hyperlink" Target="https://mega.nz/file/vd9wiR5J" TargetMode="External"/><Relationship Id="rId1049" Type="http://schemas.openxmlformats.org/officeDocument/2006/relationships/hyperlink" Target="https://mega.nz/file/3NE32b4Y" TargetMode="External"/><Relationship Id="rId1050" Type="http://schemas.openxmlformats.org/officeDocument/2006/relationships/hyperlink" Target="https://mega.nz/file/vN9kmCib" TargetMode="External"/><Relationship Id="rId1051" Type="http://schemas.openxmlformats.org/officeDocument/2006/relationships/hyperlink" Target="https://mega.nz/file/bVdhEQTZ" TargetMode="External"/><Relationship Id="rId1052" Type="http://schemas.openxmlformats.org/officeDocument/2006/relationships/hyperlink" Target="https://mega.nz/file/bFUg0bYZ" TargetMode="External"/><Relationship Id="rId1053" Type="http://schemas.openxmlformats.org/officeDocument/2006/relationships/hyperlink" Target="https://mega.nz/file/OVlWhBbJ" TargetMode="External"/><Relationship Id="rId1054" Type="http://schemas.openxmlformats.org/officeDocument/2006/relationships/hyperlink" Target="https://mega.nz/file/KUVHlCRR" TargetMode="External"/><Relationship Id="rId1055" Type="http://schemas.openxmlformats.org/officeDocument/2006/relationships/hyperlink" Target="https://mega.nz/file/mRcGgCbA" TargetMode="External"/><Relationship Id="rId1056" Type="http://schemas.openxmlformats.org/officeDocument/2006/relationships/hyperlink" Target="https://mega.nz/file/yIl12DhJ" TargetMode="External"/><Relationship Id="rId1057" Type="http://schemas.openxmlformats.org/officeDocument/2006/relationships/hyperlink" Target="https://mega.nz/file/iJsTEI5b" TargetMode="External"/><Relationship Id="rId1058" Type="http://schemas.openxmlformats.org/officeDocument/2006/relationships/hyperlink" Target="https://mega.nz/file/GU9QHSJB" TargetMode="External"/><Relationship Id="rId1059" Type="http://schemas.openxmlformats.org/officeDocument/2006/relationships/hyperlink" Target="https://mega.nz/file/WNljFCoY" TargetMode="External"/><Relationship Id="rId1060" Type="http://schemas.openxmlformats.org/officeDocument/2006/relationships/hyperlink" Target="https://mega.nz/file/eBU1nTRS" TargetMode="External"/><Relationship Id="rId1061" Type="http://schemas.openxmlformats.org/officeDocument/2006/relationships/hyperlink" Target="https://mega.nz/file/HF8y1YQZ" TargetMode="External"/><Relationship Id="rId1062" Type="http://schemas.openxmlformats.org/officeDocument/2006/relationships/hyperlink" Target="https://mega.nz/file/zFsjAZQK" TargetMode="External"/><Relationship Id="rId1063" Type="http://schemas.openxmlformats.org/officeDocument/2006/relationships/hyperlink" Target="https://mega.nz/file/7ZcUwRIY" TargetMode="External"/><Relationship Id="rId1064" Type="http://schemas.openxmlformats.org/officeDocument/2006/relationships/hyperlink" Target="https://mega.nz/file/GEtUFbKb" TargetMode="External"/><Relationship Id="rId1065" Type="http://schemas.openxmlformats.org/officeDocument/2006/relationships/hyperlink" Target="https://mega.nz/file/CcUBQaaL" TargetMode="External"/><Relationship Id="rId1066" Type="http://schemas.openxmlformats.org/officeDocument/2006/relationships/hyperlink" Target="https://mega.nz/file/yAFEmLZC" TargetMode="External"/><Relationship Id="rId1067" Type="http://schemas.openxmlformats.org/officeDocument/2006/relationships/hyperlink" Target="https://mega.nz/file/fBURmRaQ" TargetMode="External"/><Relationship Id="rId1068" Type="http://schemas.openxmlformats.org/officeDocument/2006/relationships/hyperlink" Target="https://mega.nz/file/mFl02YSa" TargetMode="External"/><Relationship Id="rId1069" Type="http://schemas.openxmlformats.org/officeDocument/2006/relationships/hyperlink" Target="https://mega.nz/file/PJcBgJrY" TargetMode="External"/><Relationship Id="rId1070" Type="http://schemas.openxmlformats.org/officeDocument/2006/relationships/hyperlink" Target="https://mega.nz/file/DF92EQSa" TargetMode="External"/><Relationship Id="rId1071" Type="http://schemas.openxmlformats.org/officeDocument/2006/relationships/hyperlink" Target="https://mega.nz/file/ec9liABS" TargetMode="External"/><Relationship Id="rId1072" Type="http://schemas.openxmlformats.org/officeDocument/2006/relationships/hyperlink" Target="https://mega.nz/file/nYchkIzK" TargetMode="External"/><Relationship Id="rId1073" Type="http://schemas.openxmlformats.org/officeDocument/2006/relationships/hyperlink" Target="https://mega.nz/file/OcUjzBAR" TargetMode="External"/><Relationship Id="rId1074" Type="http://schemas.openxmlformats.org/officeDocument/2006/relationships/hyperlink" Target="https://mega.nz/file/TRMnTDyB" TargetMode="External"/><Relationship Id="rId1075" Type="http://schemas.openxmlformats.org/officeDocument/2006/relationships/hyperlink" Target="https://mega.nz/file/WZ02zaQR" TargetMode="External"/><Relationship Id="rId1076" Type="http://schemas.openxmlformats.org/officeDocument/2006/relationships/hyperlink" Target="https://mega.nz/file/SJdnxSqI" TargetMode="External"/><Relationship Id="rId1077" Type="http://schemas.openxmlformats.org/officeDocument/2006/relationships/hyperlink" Target="https://mega.nz/file/eI0GWARK" TargetMode="External"/><Relationship Id="rId1078" Type="http://schemas.openxmlformats.org/officeDocument/2006/relationships/hyperlink" Target="https://mega.nz/file/id1jVYzK" TargetMode="External"/><Relationship Id="rId1079" Type="http://schemas.openxmlformats.org/officeDocument/2006/relationships/hyperlink" Target="https://mega.nz/file/yAsVWKjR" TargetMode="External"/><Relationship Id="rId1080" Type="http://schemas.openxmlformats.org/officeDocument/2006/relationships/hyperlink" Target="https://mega.nz/file/qYlCAbIK" TargetMode="External"/><Relationship Id="rId1081" Type="http://schemas.openxmlformats.org/officeDocument/2006/relationships/hyperlink" Target="https://mega.nz/file/LA1DAK7Q" TargetMode="External"/><Relationship Id="rId1082" Type="http://schemas.openxmlformats.org/officeDocument/2006/relationships/hyperlink" Target="https://mega.nz/file/mYtlgbKS" TargetMode="External"/><Relationship Id="rId1083" Type="http://schemas.openxmlformats.org/officeDocument/2006/relationships/hyperlink" Target="https://mega.nz/file/WZU3ybZJ" TargetMode="External"/><Relationship Id="rId1084" Type="http://schemas.openxmlformats.org/officeDocument/2006/relationships/hyperlink" Target="https://mega.nz/file/fEUSQY7b" TargetMode="External"/><Relationship Id="rId1085" Type="http://schemas.openxmlformats.org/officeDocument/2006/relationships/hyperlink" Target="https://mega.nz/file/rM1wFBxB" TargetMode="External"/><Relationship Id="rId1086" Type="http://schemas.openxmlformats.org/officeDocument/2006/relationships/hyperlink" Target="https://mega.nz/file/nNNzUQZD" TargetMode="External"/><Relationship Id="rId1087" Type="http://schemas.openxmlformats.org/officeDocument/2006/relationships/hyperlink" Target="https://mega.nz/file/bJ8j1ZTT" TargetMode="External"/><Relationship Id="rId1088" Type="http://schemas.openxmlformats.org/officeDocument/2006/relationships/hyperlink" Target="https://mega.nz/file/CYcy3Aha" TargetMode="External"/><Relationship Id="rId1089" Type="http://schemas.openxmlformats.org/officeDocument/2006/relationships/hyperlink" Target="https://mega.nz/file/2RMEnLiK" TargetMode="External"/><Relationship Id="rId1090" Type="http://schemas.openxmlformats.org/officeDocument/2006/relationships/hyperlink" Target="https://mega.nz/file/nV0QkB7A" TargetMode="External"/><Relationship Id="rId1091" Type="http://schemas.openxmlformats.org/officeDocument/2006/relationships/hyperlink" Target="https://mega.nz/file/7Z0zUAzC" TargetMode="External"/><Relationship Id="rId1092" Type="http://schemas.openxmlformats.org/officeDocument/2006/relationships/hyperlink" Target="https://mega.nz/file/3Z0TASgA" TargetMode="External"/><Relationship Id="rId1093" Type="http://schemas.openxmlformats.org/officeDocument/2006/relationships/hyperlink" Target="https://mega.nz/file/ndER2IpJ" TargetMode="External"/><Relationship Id="rId1094" Type="http://schemas.openxmlformats.org/officeDocument/2006/relationships/hyperlink" Target="https://mega.nz/file/qAFSxRBT" TargetMode="External"/><Relationship Id="rId1095" Type="http://schemas.openxmlformats.org/officeDocument/2006/relationships/hyperlink" Target="https://mega.nz/file/LZ9HkI4R" TargetMode="External"/><Relationship Id="rId1096" Type="http://schemas.openxmlformats.org/officeDocument/2006/relationships/hyperlink" Target="https://mega.nz/file/SIUnHTxI" TargetMode="External"/><Relationship Id="rId1097" Type="http://schemas.openxmlformats.org/officeDocument/2006/relationships/hyperlink" Target="https://mega.nz/file/DdsVXZLL" TargetMode="External"/><Relationship Id="rId1098" Type="http://schemas.openxmlformats.org/officeDocument/2006/relationships/hyperlink" Target="https://mega.nz/file/iMs0gJIT" TargetMode="External"/><Relationship Id="rId1099" Type="http://schemas.openxmlformats.org/officeDocument/2006/relationships/hyperlink" Target="https://mega.nz/file/3E1zWA5J" TargetMode="External"/><Relationship Id="rId1100" Type="http://schemas.openxmlformats.org/officeDocument/2006/relationships/hyperlink" Target="https://mega.nz/file/3J13yB4D" TargetMode="External"/><Relationship Id="rId1101" Type="http://schemas.openxmlformats.org/officeDocument/2006/relationships/hyperlink" Target="https://mega.nz/file/fJFCHJDQ" TargetMode="External"/><Relationship Id="rId1102" Type="http://schemas.openxmlformats.org/officeDocument/2006/relationships/hyperlink" Target="https://mega.nz/file/Dck1ULYa" TargetMode="External"/><Relationship Id="rId1103" Type="http://schemas.openxmlformats.org/officeDocument/2006/relationships/hyperlink" Target="https://mega.nz/file/LAUVCRSJ" TargetMode="External"/><Relationship Id="rId1104" Type="http://schemas.openxmlformats.org/officeDocument/2006/relationships/hyperlink" Target="https://mega.nz/file/yJNDHZjI" TargetMode="External"/><Relationship Id="rId1105" Type="http://schemas.openxmlformats.org/officeDocument/2006/relationships/hyperlink" Target="https://mega.nz/file/fA8xEKJC" TargetMode="External"/><Relationship Id="rId1106" Type="http://schemas.openxmlformats.org/officeDocument/2006/relationships/hyperlink" Target="https://mega.nz/file/ncFCnDjb" TargetMode="External"/><Relationship Id="rId1107" Type="http://schemas.openxmlformats.org/officeDocument/2006/relationships/hyperlink" Target="https://mega.nz/file/zI8nnSpQ" TargetMode="External"/><Relationship Id="rId1108" Type="http://schemas.openxmlformats.org/officeDocument/2006/relationships/hyperlink" Target="https://mega.nz/file/fU8DWCyC" TargetMode="External"/><Relationship Id="rId1109" Type="http://schemas.openxmlformats.org/officeDocument/2006/relationships/hyperlink" Target="https://mega.nz/file/aF8FWSjB" TargetMode="External"/><Relationship Id="rId1110" Type="http://schemas.openxmlformats.org/officeDocument/2006/relationships/hyperlink" Target="https://mega.nz/file/XAtATLzJ" TargetMode="External"/><Relationship Id="rId1111" Type="http://schemas.openxmlformats.org/officeDocument/2006/relationships/hyperlink" Target="https://mega.nz/file/KYNl1Dxa" TargetMode="External"/><Relationship Id="rId1112" Type="http://schemas.openxmlformats.org/officeDocument/2006/relationships/hyperlink" Target="https://mega.nz/file/vc9hEIJa" TargetMode="External"/><Relationship Id="rId1113" Type="http://schemas.openxmlformats.org/officeDocument/2006/relationships/hyperlink" Target="https://mega.nz/file/Ld9AWbQL" TargetMode="External"/><Relationship Id="rId1114" Type="http://schemas.openxmlformats.org/officeDocument/2006/relationships/hyperlink" Target="https://mega.nz/file/DJcF0LTR" TargetMode="External"/><Relationship Id="rId1115" Type="http://schemas.openxmlformats.org/officeDocument/2006/relationships/hyperlink" Target="https://mega.nz/file/CNsC3boL" TargetMode="External"/><Relationship Id="rId1116" Type="http://schemas.openxmlformats.org/officeDocument/2006/relationships/hyperlink" Target="https://mega.nz/file/fAVDyTqC" TargetMode="External"/><Relationship Id="rId1117" Type="http://schemas.openxmlformats.org/officeDocument/2006/relationships/hyperlink" Target="https://mega.nz/file/6Vs0RDIY" TargetMode="External"/><Relationship Id="rId1118" Type="http://schemas.openxmlformats.org/officeDocument/2006/relationships/hyperlink" Target="https://mega.nz/file/3YVkSSyZ" TargetMode="External"/><Relationship Id="rId1119" Type="http://schemas.openxmlformats.org/officeDocument/2006/relationships/hyperlink" Target="https://mega.nz/file/qQklWbKR" TargetMode="External"/><Relationship Id="rId1120" Type="http://schemas.openxmlformats.org/officeDocument/2006/relationships/hyperlink" Target="https://mega.nz/file/bJ9WFS4Z" TargetMode="External"/><Relationship Id="rId1121" Type="http://schemas.openxmlformats.org/officeDocument/2006/relationships/hyperlink" Target="https://mega.nz/file/uQt3HZJY" TargetMode="External"/><Relationship Id="rId1122" Type="http://schemas.openxmlformats.org/officeDocument/2006/relationships/hyperlink" Target="https://mega.nz/file/OYVDWQyK" TargetMode="External"/><Relationship Id="rId1123" Type="http://schemas.openxmlformats.org/officeDocument/2006/relationships/hyperlink" Target="https://mega.nz/file/vZdRQKJa" TargetMode="External"/><Relationship Id="rId1124" Type="http://schemas.openxmlformats.org/officeDocument/2006/relationships/hyperlink" Target="https://mega.nz/file/SRUW1TYD" TargetMode="External"/><Relationship Id="rId1125" Type="http://schemas.openxmlformats.org/officeDocument/2006/relationships/hyperlink" Target="https://mega.nz/file/WBskDKrK" TargetMode="External"/><Relationship Id="rId1126" Type="http://schemas.openxmlformats.org/officeDocument/2006/relationships/hyperlink" Target="https://mega.nz/file/fd1VTJZL" TargetMode="External"/><Relationship Id="rId1127" Type="http://schemas.openxmlformats.org/officeDocument/2006/relationships/hyperlink" Target="https://mega.nz/file/bYthzIbC" TargetMode="External"/><Relationship Id="rId1128" Type="http://schemas.openxmlformats.org/officeDocument/2006/relationships/hyperlink" Target="https://mega.nz/file/KA1kETAT" TargetMode="External"/><Relationship Id="rId1129" Type="http://schemas.openxmlformats.org/officeDocument/2006/relationships/hyperlink" Target="https://mega.nz/file/eRUxhSiD" TargetMode="External"/><Relationship Id="rId1130" Type="http://schemas.openxmlformats.org/officeDocument/2006/relationships/hyperlink" Target="https://mega.nz/file/yJNkjLbQ" TargetMode="External"/><Relationship Id="rId1131" Type="http://schemas.openxmlformats.org/officeDocument/2006/relationships/hyperlink" Target="https://mega.nz/file/GIF22IKT" TargetMode="External"/><Relationship Id="rId1132" Type="http://schemas.openxmlformats.org/officeDocument/2006/relationships/hyperlink" Target="https://mega.nz/file/rJ8XgIII" TargetMode="External"/><Relationship Id="rId1133" Type="http://schemas.openxmlformats.org/officeDocument/2006/relationships/hyperlink" Target="https://mega.nz/file/qYNiXaqQ" TargetMode="External"/><Relationship Id="rId1134" Type="http://schemas.openxmlformats.org/officeDocument/2006/relationships/hyperlink" Target="https://mega.nz/file/GNEVQJCQ" TargetMode="External"/><Relationship Id="rId1135" Type="http://schemas.openxmlformats.org/officeDocument/2006/relationships/hyperlink" Target="https://mega.nz/file/eFkGCJyb" TargetMode="External"/><Relationship Id="rId1136" Type="http://schemas.openxmlformats.org/officeDocument/2006/relationships/hyperlink" Target="https://mega.nz/file/DNs2VKjJ" TargetMode="External"/><Relationship Id="rId1137" Type="http://schemas.openxmlformats.org/officeDocument/2006/relationships/hyperlink" Target="https://mega.nz/file/aJl3WKja" TargetMode="External"/><Relationship Id="rId1138" Type="http://schemas.openxmlformats.org/officeDocument/2006/relationships/hyperlink" Target="https://mega.nz/file/2J0i0QrY" TargetMode="External"/><Relationship Id="rId1139" Type="http://schemas.openxmlformats.org/officeDocument/2006/relationships/hyperlink" Target="https://mega.nz/file/DYF3QSia" TargetMode="External"/><Relationship Id="rId1140" Type="http://schemas.openxmlformats.org/officeDocument/2006/relationships/hyperlink" Target="https://mega.nz/file/XEkyxbxa" TargetMode="External"/><Relationship Id="rId1141" Type="http://schemas.openxmlformats.org/officeDocument/2006/relationships/hyperlink" Target="https://mega.nz/file/HYlykSjC" TargetMode="External"/><Relationship Id="rId1142" Type="http://schemas.openxmlformats.org/officeDocument/2006/relationships/hyperlink" Target="https://mega.nz/file/2EE3FS4Q" TargetMode="External"/><Relationship Id="rId1143" Type="http://schemas.openxmlformats.org/officeDocument/2006/relationships/hyperlink" Target="https://mega.nz/file/eVlzGRxI" TargetMode="External"/><Relationship Id="rId1144" Type="http://schemas.openxmlformats.org/officeDocument/2006/relationships/hyperlink" Target="https://mega.nz/file/vIcQXZ5b" TargetMode="External"/><Relationship Id="rId1145" Type="http://schemas.openxmlformats.org/officeDocument/2006/relationships/hyperlink" Target="https://mega.nz/file/7I80kDJT" TargetMode="External"/><Relationship Id="rId1146" Type="http://schemas.openxmlformats.org/officeDocument/2006/relationships/hyperlink" Target="https://mega.nz/file/OMF0hbwJ" TargetMode="External"/><Relationship Id="rId1147" Type="http://schemas.openxmlformats.org/officeDocument/2006/relationships/hyperlink" Target="https://mega.nz/file/iNMAWaDJ" TargetMode="External"/><Relationship Id="rId1148" Type="http://schemas.openxmlformats.org/officeDocument/2006/relationships/hyperlink" Target="https://mega.nz/file/uVtlUTAR" TargetMode="External"/><Relationship Id="rId1149" Type="http://schemas.openxmlformats.org/officeDocument/2006/relationships/hyperlink" Target="https://mega.nz/file/SJtSnYqK" TargetMode="External"/><Relationship Id="rId1150" Type="http://schemas.openxmlformats.org/officeDocument/2006/relationships/hyperlink" Target="https://mega.nz/file/6cNWXbaA" TargetMode="External"/><Relationship Id="rId1151" Type="http://schemas.openxmlformats.org/officeDocument/2006/relationships/hyperlink" Target="https://mega.nz/file/OcEyRR4I" TargetMode="External"/><Relationship Id="rId1152" Type="http://schemas.openxmlformats.org/officeDocument/2006/relationships/hyperlink" Target="https://mega.nz/file/DIlVSASQ" TargetMode="External"/><Relationship Id="rId1153" Type="http://schemas.openxmlformats.org/officeDocument/2006/relationships/hyperlink" Target="https://mega.nz/file/DJV1QRDD" TargetMode="External"/><Relationship Id="rId1154" Type="http://schemas.openxmlformats.org/officeDocument/2006/relationships/hyperlink" Target="https://mega.nz/file/mVdlHTYD" TargetMode="External"/><Relationship Id="rId1155" Type="http://schemas.openxmlformats.org/officeDocument/2006/relationships/hyperlink" Target="https://mega.nz/file/mBFGlYZC" TargetMode="External"/><Relationship Id="rId1156" Type="http://schemas.openxmlformats.org/officeDocument/2006/relationships/hyperlink" Target="https://mega.nz/file/HE8TUJYI" TargetMode="External"/><Relationship Id="rId1157" Type="http://schemas.openxmlformats.org/officeDocument/2006/relationships/hyperlink" Target="https://mega.nz/file/bIMymCgZ" TargetMode="External"/><Relationship Id="rId1158" Type="http://schemas.openxmlformats.org/officeDocument/2006/relationships/hyperlink" Target="https://mega.nz/file/HF0kFRjD" TargetMode="External"/><Relationship Id="rId1159" Type="http://schemas.openxmlformats.org/officeDocument/2006/relationships/hyperlink" Target="https://mega.nz/file/md8DBaiZ" TargetMode="External"/><Relationship Id="rId1160" Type="http://schemas.openxmlformats.org/officeDocument/2006/relationships/hyperlink" Target="https://mega.nz/file/GB9WHAbJ" TargetMode="External"/><Relationship Id="rId1161" Type="http://schemas.openxmlformats.org/officeDocument/2006/relationships/hyperlink" Target="https://mega.nz/file/WcVCzbba" TargetMode="External"/><Relationship Id="rId1162" Type="http://schemas.openxmlformats.org/officeDocument/2006/relationships/hyperlink" Target="https://mega.nz/file/6QsDiIiI" TargetMode="External"/><Relationship Id="rId1163" Type="http://schemas.openxmlformats.org/officeDocument/2006/relationships/hyperlink" Target="https://mega.nz/file/aMklBaaJ" TargetMode="External"/><Relationship Id="rId1164" Type="http://schemas.openxmlformats.org/officeDocument/2006/relationships/hyperlink" Target="https://mega.nz/file/eJkAmByL" TargetMode="External"/><Relationship Id="rId1165" Type="http://schemas.openxmlformats.org/officeDocument/2006/relationships/hyperlink" Target="https://mega.nz/file/qA9yUC4C" TargetMode="External"/><Relationship Id="rId1166" Type="http://schemas.openxmlformats.org/officeDocument/2006/relationships/hyperlink" Target="https://mega.nz/file/rVcFhC6S" TargetMode="External"/><Relationship Id="rId1167" Type="http://schemas.openxmlformats.org/officeDocument/2006/relationships/hyperlink" Target="https://mega.nz/file/DUsShSbK" TargetMode="External"/><Relationship Id="rId1168" Type="http://schemas.openxmlformats.org/officeDocument/2006/relationships/hyperlink" Target="https://mega.nz/file/yUdlEYyY" TargetMode="External"/><Relationship Id="rId1169" Type="http://schemas.openxmlformats.org/officeDocument/2006/relationships/hyperlink" Target="https://mega.nz/file/rMN21TII" TargetMode="External"/><Relationship Id="rId1170" Type="http://schemas.openxmlformats.org/officeDocument/2006/relationships/hyperlink" Target="https://mega.nz/file/PNN0nYQQ" TargetMode="External"/><Relationship Id="rId1171" Type="http://schemas.openxmlformats.org/officeDocument/2006/relationships/hyperlink" Target="https://mega.nz/file/SZMSSAyA" TargetMode="External"/><Relationship Id="rId1172" Type="http://schemas.openxmlformats.org/officeDocument/2006/relationships/hyperlink" Target="https://mega.nz/file/jE1A0a4C" TargetMode="External"/><Relationship Id="rId1173" Type="http://schemas.openxmlformats.org/officeDocument/2006/relationships/hyperlink" Target="https://mega.nz/file/vZ8hFZKR" TargetMode="External"/><Relationship Id="rId1174" Type="http://schemas.openxmlformats.org/officeDocument/2006/relationships/hyperlink" Target="https://mega.nz/file/bdsw1KTC" TargetMode="External"/><Relationship Id="rId1175" Type="http://schemas.openxmlformats.org/officeDocument/2006/relationships/hyperlink" Target="https://mega.nz/file/SZ00na6Y" TargetMode="External"/><Relationship Id="rId1176" Type="http://schemas.openxmlformats.org/officeDocument/2006/relationships/hyperlink" Target="https://mega.nz/file/bRFGTbZI" TargetMode="External"/><Relationship Id="rId1177" Type="http://schemas.openxmlformats.org/officeDocument/2006/relationships/hyperlink" Target="https://mega.nz/file/bckFVIiC" TargetMode="External"/><Relationship Id="rId1178" Type="http://schemas.openxmlformats.org/officeDocument/2006/relationships/hyperlink" Target="https://mega.nz/file/SM0jFZoD" TargetMode="External"/><Relationship Id="rId1179" Type="http://schemas.openxmlformats.org/officeDocument/2006/relationships/hyperlink" Target="https://mega.nz/file/6R81lZrL" TargetMode="External"/><Relationship Id="rId1180" Type="http://schemas.openxmlformats.org/officeDocument/2006/relationships/hyperlink" Target="https://mega.nz/file/bQcUVC4I" TargetMode="External"/><Relationship Id="rId1181" Type="http://schemas.openxmlformats.org/officeDocument/2006/relationships/hyperlink" Target="https://mega.nz/file/DVVyVZIR" TargetMode="External"/><Relationship Id="rId1182" Type="http://schemas.openxmlformats.org/officeDocument/2006/relationships/hyperlink" Target="https://mega.nz/file/aQ1gGLbR" TargetMode="External"/><Relationship Id="rId1183" Type="http://schemas.openxmlformats.org/officeDocument/2006/relationships/hyperlink" Target="https://mega.nz/file/LYdAQSRK" TargetMode="External"/><Relationship Id="rId1184" Type="http://schemas.openxmlformats.org/officeDocument/2006/relationships/hyperlink" Target="https://mega.nz/file/PY8iUQ7S" TargetMode="External"/><Relationship Id="rId1185" Type="http://schemas.openxmlformats.org/officeDocument/2006/relationships/hyperlink" Target="https://mega.nz/file/zJEAjR4I" TargetMode="External"/><Relationship Id="rId1186" Type="http://schemas.openxmlformats.org/officeDocument/2006/relationships/hyperlink" Target="https://mega.nz/file/fAUECAQQ" TargetMode="External"/><Relationship Id="rId1187" Type="http://schemas.openxmlformats.org/officeDocument/2006/relationships/hyperlink" Target="https://mega.nz/file/jQ1D2DST" TargetMode="External"/><Relationship Id="rId1188" Type="http://schemas.openxmlformats.org/officeDocument/2006/relationships/hyperlink" Target="https://mega.nz/file/aJtHwSQI" TargetMode="External"/><Relationship Id="rId1189" Type="http://schemas.openxmlformats.org/officeDocument/2006/relationships/hyperlink" Target="https://mega.nz/file/KIUEgRBA" TargetMode="External"/><Relationship Id="rId1190" Type="http://schemas.openxmlformats.org/officeDocument/2006/relationships/hyperlink" Target="https://mega.nz/file/7VVTiD5Z" TargetMode="External"/><Relationship Id="rId1191" Type="http://schemas.openxmlformats.org/officeDocument/2006/relationships/hyperlink" Target="https://mega.nz/file/mMVBRSiT" TargetMode="External"/><Relationship Id="rId1192" Type="http://schemas.openxmlformats.org/officeDocument/2006/relationships/hyperlink" Target="https://mega.nz/file/SZU2FaJS" TargetMode="External"/><Relationship Id="rId1193" Type="http://schemas.openxmlformats.org/officeDocument/2006/relationships/hyperlink" Target="https://mega.nz/file/mQs2wRbQ" TargetMode="External"/><Relationship Id="rId1194" Type="http://schemas.openxmlformats.org/officeDocument/2006/relationships/hyperlink" Target="https://mega.nz/file/fMFEHCQJ" TargetMode="External"/><Relationship Id="rId1195" Type="http://schemas.openxmlformats.org/officeDocument/2006/relationships/hyperlink" Target="https://mega.nz/file/zEU3AJ4C" TargetMode="External"/><Relationship Id="rId1196" Type="http://schemas.openxmlformats.org/officeDocument/2006/relationships/hyperlink" Target="https://mega.nz/file/nNkWEbQb" TargetMode="External"/><Relationship Id="rId1197" Type="http://schemas.openxmlformats.org/officeDocument/2006/relationships/hyperlink" Target="https://mega.nz/file/qM8AFYhb" TargetMode="External"/><Relationship Id="rId1198" Type="http://schemas.openxmlformats.org/officeDocument/2006/relationships/hyperlink" Target="https://mega.nz/file/Wc0iSDxD" TargetMode="External"/><Relationship Id="rId1199" Type="http://schemas.openxmlformats.org/officeDocument/2006/relationships/hyperlink" Target="https://mega.nz/file/rQNkgZKC" TargetMode="External"/><Relationship Id="rId1200" Type="http://schemas.openxmlformats.org/officeDocument/2006/relationships/hyperlink" Target="https://mega.nz/file/iYU2UJSL" TargetMode="External"/><Relationship Id="rId1201" Type="http://schemas.openxmlformats.org/officeDocument/2006/relationships/hyperlink" Target="https://mega.nz/file/eddE3QaL" TargetMode="External"/><Relationship Id="rId1202" Type="http://schemas.openxmlformats.org/officeDocument/2006/relationships/hyperlink" Target="https://mega.nz/file/KMtkERZA" TargetMode="External"/><Relationship Id="rId1203" Type="http://schemas.openxmlformats.org/officeDocument/2006/relationships/hyperlink" Target="https://mega.nz/file/2EEw3RpL" TargetMode="External"/><Relationship Id="rId1204" Type="http://schemas.openxmlformats.org/officeDocument/2006/relationships/hyperlink" Target="https://mega.nz/file/CU8EEBLL" TargetMode="External"/><Relationship Id="rId1205" Type="http://schemas.openxmlformats.org/officeDocument/2006/relationships/hyperlink" Target="https://mega.nz/file/2YMyFCIK" TargetMode="External"/><Relationship Id="rId1206" Type="http://schemas.openxmlformats.org/officeDocument/2006/relationships/hyperlink" Target="https://mega.nz/file/bAkXUJ6D" TargetMode="External"/><Relationship Id="rId1207" Type="http://schemas.openxmlformats.org/officeDocument/2006/relationships/hyperlink" Target="https://mega.nz/file/3VMRlZbD" TargetMode="External"/><Relationship Id="rId1208" Type="http://schemas.openxmlformats.org/officeDocument/2006/relationships/hyperlink" Target="https://mega.nz/file/3FdyBCoZ" TargetMode="External"/><Relationship Id="rId1209" Type="http://schemas.openxmlformats.org/officeDocument/2006/relationships/hyperlink" Target="https://mega.nz/file/rI8l3IYD" TargetMode="External"/><Relationship Id="rId1210" Type="http://schemas.openxmlformats.org/officeDocument/2006/relationships/hyperlink" Target="https://mega.nz/file/Xc10XDJK" TargetMode="External"/><Relationship Id="rId1211" Type="http://schemas.openxmlformats.org/officeDocument/2006/relationships/hyperlink" Target="https://mega.nz/file/3cdhUTCa" TargetMode="External"/><Relationship Id="rId1212" Type="http://schemas.openxmlformats.org/officeDocument/2006/relationships/hyperlink" Target="https://mega.nz/file/PcEFxYyC" TargetMode="External"/><Relationship Id="rId1213" Type="http://schemas.openxmlformats.org/officeDocument/2006/relationships/hyperlink" Target="https://mega.nz/file/KNERGD7A" TargetMode="External"/><Relationship Id="rId1214" Type="http://schemas.openxmlformats.org/officeDocument/2006/relationships/hyperlink" Target="https://mega.nz/file/2U9QSDgZ" TargetMode="External"/><Relationship Id="rId1215" Type="http://schemas.openxmlformats.org/officeDocument/2006/relationships/hyperlink" Target="https://mega.nz/file/mN0ShApY" TargetMode="External"/><Relationship Id="rId1216" Type="http://schemas.openxmlformats.org/officeDocument/2006/relationships/hyperlink" Target="https://mega.nz/file/DNFVBToJ" TargetMode="External"/><Relationship Id="rId1217" Type="http://schemas.openxmlformats.org/officeDocument/2006/relationships/hyperlink" Target="https://mega.nz/file/jVcyRbRS" TargetMode="External"/><Relationship Id="rId1218" Type="http://schemas.openxmlformats.org/officeDocument/2006/relationships/hyperlink" Target="https://mega.nz/file/yYMVyZaI" TargetMode="External"/><Relationship Id="rId1219" Type="http://schemas.openxmlformats.org/officeDocument/2006/relationships/hyperlink" Target="https://mega.nz/file/DdNQHY7S" TargetMode="External"/><Relationship Id="rId1220" Type="http://schemas.openxmlformats.org/officeDocument/2006/relationships/hyperlink" Target="https://mega.nz/file/OUVmSATL" TargetMode="External"/><Relationship Id="rId1221" Type="http://schemas.openxmlformats.org/officeDocument/2006/relationships/hyperlink" Target="https://mega.nz/file/PYNR2Dwb" TargetMode="External"/><Relationship Id="rId1222" Type="http://schemas.openxmlformats.org/officeDocument/2006/relationships/hyperlink" Target="https://mega.nz/file/aZ9XDRgY" TargetMode="External"/><Relationship Id="rId1223" Type="http://schemas.openxmlformats.org/officeDocument/2006/relationships/hyperlink" Target="https://mega.nz/file/rQtFXboB" TargetMode="External"/><Relationship Id="rId1224" Type="http://schemas.openxmlformats.org/officeDocument/2006/relationships/hyperlink" Target="https://mega.nz/file/iNMmHLAR" TargetMode="External"/><Relationship Id="rId1225" Type="http://schemas.openxmlformats.org/officeDocument/2006/relationships/hyperlink" Target="https://mega.nz/file/mYtV2CyD" TargetMode="External"/><Relationship Id="rId1226" Type="http://schemas.openxmlformats.org/officeDocument/2006/relationships/hyperlink" Target="https://mega.nz/file/6cszmZAC" TargetMode="External"/><Relationship Id="rId1227" Type="http://schemas.openxmlformats.org/officeDocument/2006/relationships/hyperlink" Target="https://mega.nz/file/iBtU2AoB" TargetMode="External"/><Relationship Id="rId1228" Type="http://schemas.openxmlformats.org/officeDocument/2006/relationships/hyperlink" Target="https://mega.nz/file/KF8SEJCK" TargetMode="External"/><Relationship Id="rId1229" Type="http://schemas.openxmlformats.org/officeDocument/2006/relationships/hyperlink" Target="https://mega.nz/file/LBk3yCQB" TargetMode="External"/><Relationship Id="rId1230" Type="http://schemas.openxmlformats.org/officeDocument/2006/relationships/hyperlink" Target="https://mega.nz/file/HQtlxR5A" TargetMode="External"/><Relationship Id="rId1231" Type="http://schemas.openxmlformats.org/officeDocument/2006/relationships/hyperlink" Target="https://mega.nz/file/WN8z3aRJ" TargetMode="External"/><Relationship Id="rId1232" Type="http://schemas.openxmlformats.org/officeDocument/2006/relationships/hyperlink" Target="https://mega.nz/file/XdNFlCBI" TargetMode="External"/><Relationship Id="rId1233" Type="http://schemas.openxmlformats.org/officeDocument/2006/relationships/hyperlink" Target="https://mega.nz/file/DFlUDLgR" TargetMode="External"/><Relationship Id="rId1234" Type="http://schemas.openxmlformats.org/officeDocument/2006/relationships/hyperlink" Target="https://mega.nz/file/jUVxkC4Y" TargetMode="External"/><Relationship Id="rId1235" Type="http://schemas.openxmlformats.org/officeDocument/2006/relationships/hyperlink" Target="https://mega.nz/file/PIklnICb" TargetMode="External"/><Relationship Id="rId1236" Type="http://schemas.openxmlformats.org/officeDocument/2006/relationships/hyperlink" Target="https://mega.nz/file/bZ1nAZDB" TargetMode="External"/><Relationship Id="rId1237" Type="http://schemas.openxmlformats.org/officeDocument/2006/relationships/hyperlink" Target="https://mega.nz/file/TRs1VZwZ" TargetMode="External"/><Relationship Id="rId1238" Type="http://schemas.openxmlformats.org/officeDocument/2006/relationships/hyperlink" Target="https://mega.nz/file/qU1DzYyC" TargetMode="External"/><Relationship Id="rId1239" Type="http://schemas.openxmlformats.org/officeDocument/2006/relationships/hyperlink" Target="https://mega.nz/file/SQlyXbKS" TargetMode="External"/><Relationship Id="rId1240" Type="http://schemas.openxmlformats.org/officeDocument/2006/relationships/hyperlink" Target="https://mega.nz/file/uQdHCbqJ" TargetMode="External"/><Relationship Id="rId1241" Type="http://schemas.openxmlformats.org/officeDocument/2006/relationships/hyperlink" Target="https://mega.nz/file/2RFhzCjZ" TargetMode="External"/><Relationship Id="rId1242" Type="http://schemas.openxmlformats.org/officeDocument/2006/relationships/hyperlink" Target="https://mega.nz/file/3I0lhYxT" TargetMode="External"/><Relationship Id="rId1243" Type="http://schemas.openxmlformats.org/officeDocument/2006/relationships/hyperlink" Target="https://mega.nz/file/PMc3wS6L" TargetMode="External"/><Relationship Id="rId1244" Type="http://schemas.openxmlformats.org/officeDocument/2006/relationships/hyperlink" Target="https://mega.nz/file/qd0CWb4R" TargetMode="External"/><Relationship Id="rId1245" Type="http://schemas.openxmlformats.org/officeDocument/2006/relationships/hyperlink" Target="https://mega.nz/file/CJlGFKDT" TargetMode="External"/><Relationship Id="rId1246" Type="http://schemas.openxmlformats.org/officeDocument/2006/relationships/hyperlink" Target="https://mega.nz/file/nU0QxbiT" TargetMode="External"/><Relationship Id="rId1247" Type="http://schemas.openxmlformats.org/officeDocument/2006/relationships/hyperlink" Target="https://mega.nz/file/PAFA2DoI" TargetMode="External"/><Relationship Id="rId1248" Type="http://schemas.openxmlformats.org/officeDocument/2006/relationships/hyperlink" Target="https://mega.nz/file/GIdwCRqB" TargetMode="External"/><Relationship Id="rId1249" Type="http://schemas.openxmlformats.org/officeDocument/2006/relationships/hyperlink" Target="https://mega.nz/file/bNkTyQxS" TargetMode="External"/><Relationship Id="rId1250" Type="http://schemas.openxmlformats.org/officeDocument/2006/relationships/hyperlink" Target="https://mega.nz/file/DEFzEJgJ" TargetMode="External"/><Relationship Id="rId1251" Type="http://schemas.openxmlformats.org/officeDocument/2006/relationships/hyperlink" Target="https://mega.nz/file/jY8WCAIK" TargetMode="External"/><Relationship Id="rId1252" Type="http://schemas.openxmlformats.org/officeDocument/2006/relationships/hyperlink" Target="https://mega.nz/file/qUEFXYZT" TargetMode="External"/><Relationship Id="rId1253" Type="http://schemas.openxmlformats.org/officeDocument/2006/relationships/hyperlink" Target="https://mega.nz/file/SB8UgY5Q" TargetMode="External"/><Relationship Id="rId1254" Type="http://schemas.openxmlformats.org/officeDocument/2006/relationships/hyperlink" Target="https://mega.nz/file/yYlkWK6T" TargetMode="External"/><Relationship Id="rId1255" Type="http://schemas.openxmlformats.org/officeDocument/2006/relationships/hyperlink" Target="https://mega.nz/file/qQMGXAhK" TargetMode="External"/><Relationship Id="rId1256" Type="http://schemas.openxmlformats.org/officeDocument/2006/relationships/hyperlink" Target="https://mega.nz/file/TEkHESgC" TargetMode="External"/><Relationship Id="rId1257" Type="http://schemas.openxmlformats.org/officeDocument/2006/relationships/hyperlink" Target="https://mega.nz/file/nV8SDCxC" TargetMode="External"/><Relationship Id="rId1258" Type="http://schemas.openxmlformats.org/officeDocument/2006/relationships/hyperlink" Target="https://mega.nz/file/2I8UUKyR" TargetMode="External"/><Relationship Id="rId1259" Type="http://schemas.openxmlformats.org/officeDocument/2006/relationships/hyperlink" Target="https://mega.nz/file/KUcVVJ4Y" TargetMode="External"/><Relationship Id="rId1260" Type="http://schemas.openxmlformats.org/officeDocument/2006/relationships/hyperlink" Target="https://mega.nz/file/aF90HLDT" TargetMode="External"/><Relationship Id="rId1261" Type="http://schemas.openxmlformats.org/officeDocument/2006/relationships/hyperlink" Target="https://mega.nz/file/XYEQxSJB" TargetMode="External"/><Relationship Id="rId1262" Type="http://schemas.openxmlformats.org/officeDocument/2006/relationships/hyperlink" Target="https://mega.nz/file/3VkQiBhT" TargetMode="External"/><Relationship Id="rId1263" Type="http://schemas.openxmlformats.org/officeDocument/2006/relationships/hyperlink" Target="https://mega.nz/file/SBECzJCD" TargetMode="External"/><Relationship Id="rId1264" Type="http://schemas.openxmlformats.org/officeDocument/2006/relationships/hyperlink" Target="https://mega.nz/file/eYkR3bLZ" TargetMode="External"/><Relationship Id="rId1265" Type="http://schemas.openxmlformats.org/officeDocument/2006/relationships/hyperlink" Target="https://mega.nz/file/bBU31QJQ" TargetMode="External"/><Relationship Id="rId1266" Type="http://schemas.openxmlformats.org/officeDocument/2006/relationships/hyperlink" Target="https://mega.nz/file/qZFTkDCA" TargetMode="External"/><Relationship Id="rId1267" Type="http://schemas.openxmlformats.org/officeDocument/2006/relationships/hyperlink" Target="https://mega.nz/file/PMM31ZbQ" TargetMode="External"/><Relationship Id="rId1268" Type="http://schemas.openxmlformats.org/officeDocument/2006/relationships/hyperlink" Target="https://mega.nz/file/aQUUBaiI" TargetMode="External"/><Relationship Id="rId1269" Type="http://schemas.openxmlformats.org/officeDocument/2006/relationships/hyperlink" Target="https://mega.nz/file/zdVwwa6S" TargetMode="External"/><Relationship Id="rId1270" Type="http://schemas.openxmlformats.org/officeDocument/2006/relationships/hyperlink" Target="https://mega.nz/file/jQkXkZTS" TargetMode="External"/><Relationship Id="rId1271" Type="http://schemas.openxmlformats.org/officeDocument/2006/relationships/hyperlink" Target="https://mega.nz/file/aVMmiYTC" TargetMode="External"/><Relationship Id="rId1272" Type="http://schemas.openxmlformats.org/officeDocument/2006/relationships/hyperlink" Target="https://mega.nz/file/TMtChQAC" TargetMode="External"/><Relationship Id="rId1273" Type="http://schemas.openxmlformats.org/officeDocument/2006/relationships/hyperlink" Target="https://mega.nz/file/eFlShSpT" TargetMode="External"/><Relationship Id="rId1274" Type="http://schemas.openxmlformats.org/officeDocument/2006/relationships/hyperlink" Target="https://mega.nz/file/HYkkDZxB" TargetMode="External"/><Relationship Id="rId1275" Type="http://schemas.openxmlformats.org/officeDocument/2006/relationships/hyperlink" Target="https://mega.nz/file/DRkhXDCZ" TargetMode="External"/><Relationship Id="rId1276" Type="http://schemas.openxmlformats.org/officeDocument/2006/relationships/hyperlink" Target="https://mega.nz/file/idNB3BoQ" TargetMode="External"/><Relationship Id="rId1277" Type="http://schemas.openxmlformats.org/officeDocument/2006/relationships/hyperlink" Target="https://mega.nz/file/DIdhHQxL" TargetMode="External"/><Relationship Id="rId1278" Type="http://schemas.openxmlformats.org/officeDocument/2006/relationships/hyperlink" Target="https://mega.nz/file/DB12TB6A" TargetMode="External"/><Relationship Id="rId1279" Type="http://schemas.openxmlformats.org/officeDocument/2006/relationships/hyperlink" Target="https://mega.nz/file/jEd0ADqY" TargetMode="External"/><Relationship Id="rId1280" Type="http://schemas.openxmlformats.org/officeDocument/2006/relationships/hyperlink" Target="https://mega.nz/file/2QMHDIDS" TargetMode="External"/><Relationship Id="rId1281" Type="http://schemas.openxmlformats.org/officeDocument/2006/relationships/hyperlink" Target="https://mega.nz/file/aMNiDbYC" TargetMode="External"/><Relationship Id="rId1282" Type="http://schemas.openxmlformats.org/officeDocument/2006/relationships/hyperlink" Target="https://mega.nz/file/KcdCwKrY" TargetMode="External"/><Relationship Id="rId1283" Type="http://schemas.openxmlformats.org/officeDocument/2006/relationships/hyperlink" Target="https://mega.nz/file/fVtx3CKY" TargetMode="External"/><Relationship Id="rId1284" Type="http://schemas.openxmlformats.org/officeDocument/2006/relationships/hyperlink" Target="https://mega.nz/file/Tc031BrJ" TargetMode="External"/><Relationship Id="rId1285" Type="http://schemas.openxmlformats.org/officeDocument/2006/relationships/hyperlink" Target="https://mega.nz/file/6ANjiZCY" TargetMode="External"/><Relationship Id="rId1286" Type="http://schemas.openxmlformats.org/officeDocument/2006/relationships/hyperlink" Target="https://mega.nz/file/WdFRWTKJ" TargetMode="External"/><Relationship Id="rId1287" Type="http://schemas.openxmlformats.org/officeDocument/2006/relationships/hyperlink" Target="https://mega.nz/file/zZNHnJKJ" TargetMode="External"/><Relationship Id="rId1288" Type="http://schemas.openxmlformats.org/officeDocument/2006/relationships/hyperlink" Target="https://mega.nz/file/WI9EiKJY" TargetMode="External"/><Relationship Id="rId1289" Type="http://schemas.openxmlformats.org/officeDocument/2006/relationships/hyperlink" Target="https://mega.nz/file/XRMRmCRQ" TargetMode="External"/><Relationship Id="rId1290" Type="http://schemas.openxmlformats.org/officeDocument/2006/relationships/hyperlink" Target="https://mega.nz/file/CFdjSLhK" TargetMode="External"/><Relationship Id="rId1291" Type="http://schemas.openxmlformats.org/officeDocument/2006/relationships/hyperlink" Target="https://mega.nz/file/PNlR2IpY" TargetMode="External"/><Relationship Id="rId1292" Type="http://schemas.openxmlformats.org/officeDocument/2006/relationships/hyperlink" Target="https://mega.nz/file/3N8WFIhb" TargetMode="External"/><Relationship Id="rId1293" Type="http://schemas.openxmlformats.org/officeDocument/2006/relationships/hyperlink" Target="https://mega.nz/file/yUsFCLYQ" TargetMode="External"/><Relationship Id="rId1294" Type="http://schemas.openxmlformats.org/officeDocument/2006/relationships/hyperlink" Target="https://mega.nz/file/GRsxESIB" TargetMode="External"/><Relationship Id="rId1295" Type="http://schemas.openxmlformats.org/officeDocument/2006/relationships/hyperlink" Target="https://mega.nz/file/OQ8AhYrA" TargetMode="External"/><Relationship Id="rId1296" Type="http://schemas.openxmlformats.org/officeDocument/2006/relationships/hyperlink" Target="https://mega.nz/file/rUthTBTC" TargetMode="External"/><Relationship Id="rId1297" Type="http://schemas.openxmlformats.org/officeDocument/2006/relationships/hyperlink" Target="https://mega.nz/file/XJsXBDSD" TargetMode="External"/><Relationship Id="rId1298" Type="http://schemas.openxmlformats.org/officeDocument/2006/relationships/hyperlink" Target="https://mega.nz/file/yFElCCQY" TargetMode="External"/><Relationship Id="rId1299" Type="http://schemas.openxmlformats.org/officeDocument/2006/relationships/hyperlink" Target="https://mega.nz/file/vUsXDaxB" TargetMode="External"/><Relationship Id="rId1300" Type="http://schemas.openxmlformats.org/officeDocument/2006/relationships/hyperlink" Target="https://mega.nz/file/bdFBTYBJ" TargetMode="External"/><Relationship Id="rId1301" Type="http://schemas.openxmlformats.org/officeDocument/2006/relationships/hyperlink" Target="https://mega.nz/file/KBMTTLIQ" TargetMode="External"/><Relationship Id="rId1302" Type="http://schemas.openxmlformats.org/officeDocument/2006/relationships/hyperlink" Target="https://mega.nz/file/7VN1hSDY" TargetMode="External"/><Relationship Id="rId1303" Type="http://schemas.openxmlformats.org/officeDocument/2006/relationships/hyperlink" Target="https://mega.nz/file/eJcAnSYI" TargetMode="External"/><Relationship Id="rId1304" Type="http://schemas.openxmlformats.org/officeDocument/2006/relationships/hyperlink" Target="https://mega.nz/file/bBEVASCB" TargetMode="External"/><Relationship Id="rId1305" Type="http://schemas.openxmlformats.org/officeDocument/2006/relationships/hyperlink" Target="https://mega.nz/file/PZ1FGZoY" TargetMode="External"/><Relationship Id="rId1306" Type="http://schemas.openxmlformats.org/officeDocument/2006/relationships/hyperlink" Target="https://mega.nz/file/6M0QWJiC" TargetMode="External"/><Relationship Id="rId1307" Type="http://schemas.openxmlformats.org/officeDocument/2006/relationships/hyperlink" Target="https://mega.nz/file/iY0TBAJA" TargetMode="External"/><Relationship Id="rId1308" Type="http://schemas.openxmlformats.org/officeDocument/2006/relationships/hyperlink" Target="https://mega.nz/file/qE1HELpB" TargetMode="External"/><Relationship Id="rId1309" Type="http://schemas.openxmlformats.org/officeDocument/2006/relationships/hyperlink" Target="https://mega.nz/file/DZVQGahR" TargetMode="External"/><Relationship Id="rId1310" Type="http://schemas.openxmlformats.org/officeDocument/2006/relationships/hyperlink" Target="https://mega.nz/file/WRdF3LIB" TargetMode="External"/><Relationship Id="rId1311" Type="http://schemas.openxmlformats.org/officeDocument/2006/relationships/hyperlink" Target="https://mega.nz/file/jYVgjBoJ" TargetMode="External"/><Relationship Id="rId1312" Type="http://schemas.openxmlformats.org/officeDocument/2006/relationships/hyperlink" Target="https://mega.nz/file/2Et3yYaJ" TargetMode="External"/><Relationship Id="rId1313" Type="http://schemas.openxmlformats.org/officeDocument/2006/relationships/hyperlink" Target="https://mega.nz/file/OB8CWIpA" TargetMode="External"/><Relationship Id="rId1314" Type="http://schemas.openxmlformats.org/officeDocument/2006/relationships/hyperlink" Target="https://mega.nz/file/Cc0BhZCZ" TargetMode="External"/><Relationship Id="rId1315" Type="http://schemas.openxmlformats.org/officeDocument/2006/relationships/hyperlink" Target="https://mega.nz/file/rIdCXRYQ" TargetMode="External"/><Relationship Id="rId1316" Type="http://schemas.openxmlformats.org/officeDocument/2006/relationships/hyperlink" Target="https://mega.nz/file/HEcEhQhJ" TargetMode="External"/><Relationship Id="rId1317" Type="http://schemas.openxmlformats.org/officeDocument/2006/relationships/hyperlink" Target="https://mega.nz/file/HFNTiD5Z" TargetMode="External"/><Relationship Id="rId1318" Type="http://schemas.openxmlformats.org/officeDocument/2006/relationships/hyperlink" Target="https://mega.nz/file/uQsyRBYT" TargetMode="External"/><Relationship Id="rId1319" Type="http://schemas.openxmlformats.org/officeDocument/2006/relationships/hyperlink" Target="https://mega.nz/file/jd0XzD4C" TargetMode="External"/><Relationship Id="rId1320" Type="http://schemas.openxmlformats.org/officeDocument/2006/relationships/hyperlink" Target="https://mega.nz/file/TJckXICJ" TargetMode="External"/><Relationship Id="rId1321" Type="http://schemas.openxmlformats.org/officeDocument/2006/relationships/hyperlink" Target="https://mega.nz/file/qZVHTLyL" TargetMode="External"/><Relationship Id="rId1322" Type="http://schemas.openxmlformats.org/officeDocument/2006/relationships/hyperlink" Target="https://mega.nz/file/iJ0RVCzb" TargetMode="External"/><Relationship Id="rId1323" Type="http://schemas.openxmlformats.org/officeDocument/2006/relationships/hyperlink" Target="https://mega.nz/file/WJc02K7I" TargetMode="External"/><Relationship Id="rId1324" Type="http://schemas.openxmlformats.org/officeDocument/2006/relationships/hyperlink" Target="https://mega.nz/file/bdFxxQ6I" TargetMode="External"/><Relationship Id="rId1325" Type="http://schemas.openxmlformats.org/officeDocument/2006/relationships/hyperlink" Target="https://mega.nz/file/2Yd2ECQb" TargetMode="External"/><Relationship Id="rId1326" Type="http://schemas.openxmlformats.org/officeDocument/2006/relationships/hyperlink" Target="https://mega.nz/file/uRkwwZbT" TargetMode="External"/><Relationship Id="rId1327" Type="http://schemas.openxmlformats.org/officeDocument/2006/relationships/hyperlink" Target="https://mega.nz/file/PEFyFQCS" TargetMode="External"/><Relationship Id="rId1328" Type="http://schemas.openxmlformats.org/officeDocument/2006/relationships/hyperlink" Target="https://mega.nz/file/SM8i2RZT" TargetMode="External"/><Relationship Id="rId1329" Type="http://schemas.openxmlformats.org/officeDocument/2006/relationships/hyperlink" Target="https://mega.nz/file/TEsUwKwK" TargetMode="External"/><Relationship Id="rId1330" Type="http://schemas.openxmlformats.org/officeDocument/2006/relationships/hyperlink" Target="https://mega.nz/file/HcdSgawa" TargetMode="External"/><Relationship Id="rId1331" Type="http://schemas.openxmlformats.org/officeDocument/2006/relationships/hyperlink" Target="https://mega.nz/file/vFlykDIJ" TargetMode="External"/><Relationship Id="rId1332" Type="http://schemas.openxmlformats.org/officeDocument/2006/relationships/hyperlink" Target="https://mega.nz/file/DNNlkIwK" TargetMode="External"/><Relationship Id="rId1333" Type="http://schemas.openxmlformats.org/officeDocument/2006/relationships/hyperlink" Target="https://mega.nz/file/OAE0AZJD" TargetMode="External"/><Relationship Id="rId1334" Type="http://schemas.openxmlformats.org/officeDocument/2006/relationships/hyperlink" Target="https://mega.nz/file/HdV2jYzD" TargetMode="External"/><Relationship Id="rId1335" Type="http://schemas.openxmlformats.org/officeDocument/2006/relationships/hyperlink" Target="https://mega.nz/file/udsU3DwI" TargetMode="External"/><Relationship Id="rId1336" Type="http://schemas.openxmlformats.org/officeDocument/2006/relationships/hyperlink" Target="https://mega.nz/file/mVEjgarQ" TargetMode="External"/></Relationships>
</file>

<file path=xl/worksheets/sheet1.xml><?xml version="1.0" encoding="utf-8"?>
<worksheet xmlns="http://schemas.openxmlformats.org/spreadsheetml/2006/main" xmlns:r="http://schemas.openxmlformats.org/officeDocument/2006/relationships">
  <dimension ref="A1:J1337"/>
  <sheetViews>
    <sheetView tabSelected="1" workbookViewId="0"/>
  </sheetViews>
  <sheetFormatPr defaultRowHeight="15"/>
  <cols>
    <col min="1" max="1" width="40.7109375" customWidth="1"/>
    <col min="2" max="2" width="25.7109375" customWidth="1"/>
    <col min="3" max="3" width="40.7109375" customWidth="1"/>
    <col min="4" max="4" width="50.7109375" customWidth="1"/>
    <col min="5" max="8" width="15.7109375" customWidth="1"/>
  </cols>
  <sheetData>
    <row r="1" spans="1:10">
      <c r="A1" s="1" t="s">
        <v>0</v>
      </c>
      <c r="B1" s="1" t="s">
        <v>1</v>
      </c>
      <c r="C1" s="1" t="s">
        <v>2</v>
      </c>
      <c r="D1" s="1" t="s">
        <v>3</v>
      </c>
      <c r="E1" s="1" t="s">
        <v>4</v>
      </c>
      <c r="F1" s="1" t="s">
        <v>5</v>
      </c>
      <c r="G1" s="1" t="s">
        <v>6</v>
      </c>
      <c r="H1" s="1" t="s">
        <v>7</v>
      </c>
      <c r="I1" s="1" t="s">
        <v>8</v>
      </c>
      <c r="J1" s="1" t="s">
        <v>9</v>
      </c>
    </row>
    <row r="2" spans="1:10">
      <c r="A2">
        <f>HYPERLINK("https://mega.nz/file/iMtTVJhb#aBO3R2C8VOuQ5R0J8ISI_opN8YJyvJO8xMQlhdHJpG4", "Nohmata Secreto del Mal")</f>
        <v>0</v>
      </c>
      <c r="B2" t="s">
        <v>10</v>
      </c>
      <c r="C2" t="s">
        <v>485</v>
      </c>
      <c r="D2" t="s">
        <v>1781</v>
      </c>
      <c r="E2" t="s">
        <v>3117</v>
      </c>
      <c r="F2" t="s">
        <v>3130</v>
      </c>
      <c r="G2" s="2" t="s">
        <v>3132</v>
      </c>
      <c r="H2">
        <v>6.334999999999999E-05</v>
      </c>
      <c r="I2">
        <v>6.51E-05</v>
      </c>
      <c r="J2">
        <v>0.00012845</v>
      </c>
    </row>
    <row r="3" spans="1:10">
      <c r="A3">
        <f>HYPERLINK("https://mega.nz/file/CYVAmQTI#zjqWdRU25xMsorpaKJNlovpxauOfNGs8gOzOK9wh-PM", "El continente perdido y otros ensayos")</f>
        <v>0</v>
      </c>
      <c r="B3" t="s">
        <v>11</v>
      </c>
      <c r="C3" t="s">
        <v>486</v>
      </c>
      <c r="D3" t="s">
        <v>1782</v>
      </c>
      <c r="E3" t="s">
        <v>3117</v>
      </c>
      <c r="F3" t="s">
        <v>3130</v>
      </c>
      <c r="G3" s="2" t="s">
        <v>3133</v>
      </c>
      <c r="H3">
        <v>6.160000000000001E-05</v>
      </c>
      <c r="I3">
        <v>6.02E-05</v>
      </c>
      <c r="J3">
        <v>0.0001218</v>
      </c>
    </row>
    <row r="4" spans="1:10">
      <c r="A4">
        <f>HYPERLINK("https://mega.nz/file/uBknlJha#1bN6TxEacVFX5GPbJ14XclkPz_DzCFM6z9uXHvfDSXU", "Liber KKK")</f>
        <v>0</v>
      </c>
      <c r="B4" t="s">
        <v>11</v>
      </c>
      <c r="C4" t="s">
        <v>487</v>
      </c>
      <c r="D4" t="s">
        <v>1783</v>
      </c>
      <c r="E4" t="s">
        <v>3117</v>
      </c>
      <c r="F4" t="s">
        <v>3131</v>
      </c>
      <c r="G4" s="2" t="s">
        <v>3134</v>
      </c>
      <c r="H4">
        <v>5.705E-05</v>
      </c>
      <c r="I4">
        <v>5.845E-05</v>
      </c>
      <c r="J4">
        <v>0.0001155</v>
      </c>
    </row>
    <row r="5" spans="1:10">
      <c r="A5">
        <f>HYPERLINK("https://mega.nz/file/2BVRWIRD#OnD0Rv6pGzN-VWYHFGh6koKP_q_AXIhcsCrQrXiseZc", "Liber Nv")</f>
        <v>0</v>
      </c>
      <c r="B5" t="s">
        <v>11</v>
      </c>
      <c r="C5" t="s">
        <v>488</v>
      </c>
      <c r="D5" t="s">
        <v>1784</v>
      </c>
      <c r="E5" t="s">
        <v>3117</v>
      </c>
      <c r="F5" t="s">
        <v>3131</v>
      </c>
      <c r="G5" s="2" t="s">
        <v>3135</v>
      </c>
      <c r="H5">
        <v>5.88E-05</v>
      </c>
      <c r="I5">
        <v>5.565E-05</v>
      </c>
      <c r="J5">
        <v>0.00011445</v>
      </c>
    </row>
    <row r="6" spans="1:10">
      <c r="A6">
        <f>HYPERLINK("https://mega.nz/file/2E8E1DSQ#LzdVS9g9H0W01TayQtZILqOUHUvfzCQfAMBNbKQUA9o", "MAgick Book 4")</f>
        <v>0</v>
      </c>
      <c r="B6" t="s">
        <v>11</v>
      </c>
      <c r="C6" t="s">
        <v>489</v>
      </c>
      <c r="D6" t="s">
        <v>1785</v>
      </c>
      <c r="E6" t="s">
        <v>3117</v>
      </c>
      <c r="F6" t="s">
        <v>3131</v>
      </c>
      <c r="G6" s="2" t="s">
        <v>3136</v>
      </c>
      <c r="H6">
        <v>6.265E-05</v>
      </c>
      <c r="I6">
        <v>5.32E-05</v>
      </c>
      <c r="J6">
        <v>0.00011585</v>
      </c>
    </row>
    <row r="7" spans="1:10">
      <c r="A7">
        <f>HYPERLINK("https://mega.nz/file/uEF2QARB#BN4pyU1SJPj5HgOzCJLC_Mfvt3Y3aN4G7TCEjIgr-e4", "Magick in Theory and Practice")</f>
        <v>0</v>
      </c>
      <c r="B7" t="s">
        <v>11</v>
      </c>
      <c r="C7" t="s">
        <v>490</v>
      </c>
      <c r="D7" t="s">
        <v>1786</v>
      </c>
      <c r="E7" t="s">
        <v>3117</v>
      </c>
      <c r="F7" t="s">
        <v>3131</v>
      </c>
      <c r="G7" s="2" t="s">
        <v>3137</v>
      </c>
      <c r="H7">
        <v>6.23E-05</v>
      </c>
      <c r="I7">
        <v>4.97E-05</v>
      </c>
      <c r="J7">
        <v>0.000112</v>
      </c>
    </row>
    <row r="8" spans="1:10">
      <c r="A8">
        <f>HYPERLINK("https://mega.nz/file/fA8xHYxR#gjv5ZoDxeF9duLQ00BgqgtJ76cNHnYDMSwvuop354lg", "Sepher Sephiroth")</f>
        <v>0</v>
      </c>
      <c r="B8" t="s">
        <v>11</v>
      </c>
      <c r="C8" t="s">
        <v>491</v>
      </c>
      <c r="D8" t="s">
        <v>1787</v>
      </c>
      <c r="E8" t="s">
        <v>3118</v>
      </c>
      <c r="F8" t="s">
        <v>3131</v>
      </c>
      <c r="G8" s="2" t="s">
        <v>3138</v>
      </c>
      <c r="H8">
        <v>6.23E-05</v>
      </c>
      <c r="I8">
        <v>5.845E-05</v>
      </c>
      <c r="J8">
        <v>0.00012075</v>
      </c>
    </row>
    <row r="9" spans="1:10">
      <c r="A9">
        <f>HYPERLINK("https://mega.nz/file/XR0UmISQ#9hjGVHusaNKTA3dWcxb-U7RWfysKpfFGctBC1xNTmtk", "The Greater Ritual of The Pentagram")</f>
        <v>0</v>
      </c>
      <c r="B9" t="s">
        <v>11</v>
      </c>
      <c r="C9" t="s">
        <v>492</v>
      </c>
      <c r="D9" t="s">
        <v>1788</v>
      </c>
      <c r="E9" t="s">
        <v>3117</v>
      </c>
      <c r="F9" t="s">
        <v>3131</v>
      </c>
      <c r="G9" s="2" t="s">
        <v>3139</v>
      </c>
      <c r="H9">
        <v>6.405E-05</v>
      </c>
      <c r="I9">
        <v>5.635E-05</v>
      </c>
      <c r="J9">
        <v>0.0001204</v>
      </c>
    </row>
    <row r="10" spans="1:10">
      <c r="A10">
        <f>HYPERLINK("https://mega.nz/file/6JM2hCxa#GZpljOJ_2doJEC01z3iJSGqZ2JZ6JxnJlSI7ugX-AvA", "el tarot de marsella restaurado")</f>
        <v>0</v>
      </c>
      <c r="B10" t="s">
        <v>12</v>
      </c>
      <c r="C10" t="s">
        <v>493</v>
      </c>
      <c r="D10" t="s">
        <v>1789</v>
      </c>
      <c r="E10" t="s">
        <v>1188</v>
      </c>
      <c r="F10" t="s">
        <v>3130</v>
      </c>
      <c r="G10" s="2" t="s">
        <v>3140</v>
      </c>
      <c r="H10">
        <v>6.51E-05</v>
      </c>
      <c r="I10">
        <v>6.265E-05</v>
      </c>
      <c r="J10">
        <v>0.00012775</v>
      </c>
    </row>
    <row r="11" spans="1:10">
      <c r="A11">
        <f>HYPERLINK("https://mega.nz/file/rA1GzZwS#ab3cXG46Rqo6xSZm5hzwE-Z6I-NqBH9ubim0GEIa5Nw", "Liber XXVII Frag")</f>
        <v>0</v>
      </c>
      <c r="B11" t="s">
        <v>13</v>
      </c>
      <c r="C11" t="s">
        <v>494</v>
      </c>
      <c r="D11" t="s">
        <v>1790</v>
      </c>
      <c r="E11" t="s">
        <v>3117</v>
      </c>
      <c r="F11" t="s">
        <v>3131</v>
      </c>
      <c r="G11" s="2" t="s">
        <v>3141</v>
      </c>
      <c r="H11">
        <v>6.265E-05</v>
      </c>
      <c r="I11">
        <v>5.285E-05</v>
      </c>
      <c r="J11">
        <v>0.0001155</v>
      </c>
    </row>
    <row r="12" spans="1:10">
      <c r="A12">
        <f>HYPERLINK("https://mega.nz/file/PB8H2RjY#K6ghj5DnwM0zp3YyhT9JKP6eQwFR6ed-8X7itmQPkXM", "Moonchild")</f>
        <v>0</v>
      </c>
      <c r="B12" t="s">
        <v>14</v>
      </c>
      <c r="C12" t="s">
        <v>495</v>
      </c>
      <c r="D12" t="s">
        <v>1791</v>
      </c>
      <c r="E12" t="s">
        <v>3117</v>
      </c>
      <c r="F12" t="s">
        <v>3131</v>
      </c>
      <c r="G12" s="2" t="s">
        <v>3142</v>
      </c>
      <c r="H12">
        <v>5.88E-05</v>
      </c>
      <c r="I12">
        <v>5.635E-05</v>
      </c>
      <c r="J12">
        <v>0.00011515</v>
      </c>
    </row>
    <row r="13" spans="1:10">
      <c r="A13">
        <f>HYPERLINK("https://mega.nz/file/DcEinKTa#iNy_nVaHpHx-1K3zutisKAS8cUAgweib-T9GPAztRx4", "El Libro de los Espiritus")</f>
        <v>0</v>
      </c>
      <c r="B13" t="s">
        <v>15</v>
      </c>
      <c r="C13" t="s">
        <v>496</v>
      </c>
      <c r="D13" t="s">
        <v>1792</v>
      </c>
      <c r="E13" t="s">
        <v>3117</v>
      </c>
      <c r="F13" t="s">
        <v>3130</v>
      </c>
      <c r="G13" s="2" t="s">
        <v>3143</v>
      </c>
      <c r="H13">
        <v>6.405E-05</v>
      </c>
      <c r="I13">
        <v>5.915E-05</v>
      </c>
      <c r="J13">
        <v>0.0001232</v>
      </c>
    </row>
    <row r="14" spans="1:10">
      <c r="A14">
        <f>HYPERLINK("https://mega.nz/file/nZ13hb6K#OvTI1JfYUT4lu4ksB5gCbMr7hz939uGSFBw5bEZyuis", "Tantra el culto de lo femenino")</f>
        <v>0</v>
      </c>
      <c r="B14" t="s">
        <v>16</v>
      </c>
      <c r="C14" t="s">
        <v>497</v>
      </c>
      <c r="D14" t="s">
        <v>1793</v>
      </c>
      <c r="E14" t="s">
        <v>3119</v>
      </c>
      <c r="F14" t="s">
        <v>3130</v>
      </c>
      <c r="G14" s="2" t="s">
        <v>3144</v>
      </c>
      <c r="H14">
        <v>6.475E-05</v>
      </c>
      <c r="I14">
        <v>6.125E-05</v>
      </c>
      <c r="J14">
        <v>0.000126</v>
      </c>
    </row>
    <row r="15" spans="1:10">
      <c r="A15">
        <f>HYPERLINK("https://mega.nz/file/LcFQHBIC#WT0dJUlSiNo6TdwZpwd6rRjmSu9894U5ZlA1dujrZZ8", "All Rites Reversed")</f>
        <v>0</v>
      </c>
      <c r="B15" t="s">
        <v>17</v>
      </c>
      <c r="C15" t="s">
        <v>498</v>
      </c>
      <c r="D15" t="s">
        <v>1794</v>
      </c>
      <c r="E15" t="s">
        <v>3117</v>
      </c>
      <c r="F15" t="s">
        <v>3131</v>
      </c>
      <c r="G15" s="2" t="s">
        <v>3145</v>
      </c>
      <c r="H15">
        <v>5.95E-05</v>
      </c>
      <c r="I15">
        <v>5.67E-05</v>
      </c>
      <c r="J15">
        <v>0.0001162</v>
      </c>
    </row>
    <row r="16" spans="1:10">
      <c r="A16">
        <f>HYPERLINK("https://mega.nz/file/7MkQFCKJ#GLaeu7Lw13cdjuJiI1h-lX15zq2OLsN5uE7v4q08068", "Angel Tech - A Modern Shaman's Guide To Reality Selection")</f>
        <v>0</v>
      </c>
      <c r="B16" t="s">
        <v>17</v>
      </c>
      <c r="C16" t="s">
        <v>499</v>
      </c>
      <c r="D16" t="s">
        <v>1795</v>
      </c>
      <c r="E16" t="s">
        <v>3117</v>
      </c>
      <c r="F16" t="s">
        <v>3131</v>
      </c>
      <c r="G16" s="2" t="s">
        <v>3146</v>
      </c>
      <c r="H16">
        <v>7.455E-05</v>
      </c>
      <c r="I16">
        <v>5.495E-05</v>
      </c>
      <c r="J16">
        <v>0.0001295</v>
      </c>
    </row>
    <row r="17" spans="1:10">
      <c r="A17">
        <f>HYPERLINK("https://mega.nz/file/uJUDgBCA#nG0_dTK_-IUZ12yWbaUaDA70btcXjWOS1vN_huQeO2A", "Life in the World Unseen")</f>
        <v>0</v>
      </c>
      <c r="B17" t="s">
        <v>18</v>
      </c>
      <c r="C17" t="s">
        <v>500</v>
      </c>
      <c r="D17" t="s">
        <v>1796</v>
      </c>
      <c r="E17" t="s">
        <v>3117</v>
      </c>
      <c r="F17" t="s">
        <v>3131</v>
      </c>
      <c r="G17" s="2" t="s">
        <v>3147</v>
      </c>
      <c r="H17">
        <v>6.160000000000001E-05</v>
      </c>
      <c r="I17">
        <v>5.88E-05</v>
      </c>
      <c r="J17">
        <v>0.0001204</v>
      </c>
    </row>
    <row r="18" spans="1:10">
      <c r="A18">
        <f>HYPERLINK("https://mega.nz/file/LRUFQQzA#WZACpGlAF3CDi74Pr7EhkDcWywEYM0yEGOrNUy8Khh8", "The Great Art")</f>
        <v>0</v>
      </c>
      <c r="B18" t="s">
        <v>19</v>
      </c>
      <c r="C18" t="s">
        <v>501</v>
      </c>
      <c r="D18" t="s">
        <v>1797</v>
      </c>
      <c r="E18" t="s">
        <v>3117</v>
      </c>
      <c r="F18" t="s">
        <v>3131</v>
      </c>
      <c r="G18" s="2" t="s">
        <v>3148</v>
      </c>
      <c r="H18">
        <v>5.95E-05</v>
      </c>
      <c r="I18">
        <v>5.18E-05</v>
      </c>
      <c r="J18">
        <v>0.0001113</v>
      </c>
    </row>
    <row r="19" spans="1:10">
      <c r="A19">
        <f>HYPERLINK("https://mega.nz/file/WZtGBZ6R#Vxc63LYDnOAUBcWBiXhy8_w3NRW9ulnStECHWq3LwF8", "Satanic Aphorisms")</f>
        <v>0</v>
      </c>
      <c r="B19" t="s">
        <v>20</v>
      </c>
      <c r="C19" t="s">
        <v>502</v>
      </c>
      <c r="D19" t="s">
        <v>1798</v>
      </c>
      <c r="E19" t="s">
        <v>3117</v>
      </c>
      <c r="F19" t="s">
        <v>3131</v>
      </c>
      <c r="G19" s="2" t="s">
        <v>3149</v>
      </c>
      <c r="H19">
        <v>6.23E-05</v>
      </c>
      <c r="I19">
        <v>5.005E-05</v>
      </c>
      <c r="J19">
        <v>0.00011235</v>
      </c>
    </row>
    <row r="20" spans="1:10">
      <c r="A20">
        <f>HYPERLINK("https://mega.nz/file/bM80WYzR#k7uyBDrnaKn0xB9dYS11WnGdlNGcog0ba9CvqgBqt98", "Satanic Rituals")</f>
        <v>0</v>
      </c>
      <c r="B20" t="s">
        <v>20</v>
      </c>
      <c r="C20" t="s">
        <v>503</v>
      </c>
      <c r="D20" t="s">
        <v>1799</v>
      </c>
      <c r="E20" t="s">
        <v>3117</v>
      </c>
      <c r="F20" t="s">
        <v>3131</v>
      </c>
      <c r="G20" s="2" t="s">
        <v>3150</v>
      </c>
      <c r="H20">
        <v>6.125E-05</v>
      </c>
      <c r="I20">
        <v>5.95E-05</v>
      </c>
      <c r="J20">
        <v>0.00012075</v>
      </c>
    </row>
    <row r="21" spans="1:10">
      <c r="A21">
        <f>HYPERLINK("https://mega.nz/file/TUFh0TLb#F9Ki_Lspa7__zDiY4hs8VfirwJ0vhwnts1aDW1RpuBY", "The Satanic Bible")</f>
        <v>0</v>
      </c>
      <c r="B21" t="s">
        <v>20</v>
      </c>
      <c r="C21" t="s">
        <v>504</v>
      </c>
      <c r="D21" t="s">
        <v>1800</v>
      </c>
      <c r="E21" t="s">
        <v>3117</v>
      </c>
      <c r="F21" t="s">
        <v>3131</v>
      </c>
      <c r="G21" s="2" t="s">
        <v>3151</v>
      </c>
      <c r="H21">
        <v>6.055E-05</v>
      </c>
      <c r="I21">
        <v>5.845E-05</v>
      </c>
      <c r="J21">
        <v>0.000119</v>
      </c>
    </row>
    <row r="22" spans="1:10">
      <c r="A22">
        <f>HYPERLINK("https://mega.nz/file/aB90QYAa#hKPbF3Kfl0qBd_2HCWoqY_z8hRcb5gKwr3FNeBNoFQY", "Biblia Satanica")</f>
        <v>0</v>
      </c>
      <c r="B22" t="s">
        <v>21</v>
      </c>
      <c r="C22" t="s">
        <v>505</v>
      </c>
      <c r="D22" t="s">
        <v>1801</v>
      </c>
      <c r="E22" t="s">
        <v>3117</v>
      </c>
      <c r="F22" t="s">
        <v>3131</v>
      </c>
      <c r="G22" s="2" t="s">
        <v>3152</v>
      </c>
      <c r="H22">
        <v>6.51E-05</v>
      </c>
      <c r="I22">
        <v>5.6E-05</v>
      </c>
      <c r="J22">
        <v>0.0001211</v>
      </c>
    </row>
    <row r="23" spans="1:10">
      <c r="A23">
        <f>HYPERLINK("https://mega.nz/file/fNcXhIJD#9mQeF9YY0zOHA1ycFm7r8tw677nEjcGxT-1pIKj4qQ4", "Prometheus Rising")</f>
        <v>0</v>
      </c>
      <c r="B23" t="s">
        <v>22</v>
      </c>
      <c r="C23" t="s">
        <v>506</v>
      </c>
      <c r="D23" t="s">
        <v>1802</v>
      </c>
      <c r="E23" t="s">
        <v>3117</v>
      </c>
      <c r="F23" t="s">
        <v>3131</v>
      </c>
      <c r="G23" s="2" t="s">
        <v>3153</v>
      </c>
      <c r="H23">
        <v>5.915E-05</v>
      </c>
      <c r="I23">
        <v>5.6E-05</v>
      </c>
      <c r="J23">
        <v>0.00011515</v>
      </c>
    </row>
    <row r="24" spans="1:10">
      <c r="A24">
        <f>HYPERLINK("https://mega.nz/file/GY800Q7Q#-0QM-agnYtBu2ftAuo7VuJgG57YwEZOhKfy2WmIhnw0", "Book of Pleasure")</f>
        <v>0</v>
      </c>
      <c r="B24" t="s">
        <v>23</v>
      </c>
      <c r="C24" t="s">
        <v>507</v>
      </c>
      <c r="D24" t="s">
        <v>1803</v>
      </c>
      <c r="E24" t="s">
        <v>3117</v>
      </c>
      <c r="F24" t="s">
        <v>3131</v>
      </c>
      <c r="G24" s="2" t="s">
        <v>3154</v>
      </c>
      <c r="H24">
        <v>5.74E-05</v>
      </c>
      <c r="I24">
        <v>5.6E-05</v>
      </c>
      <c r="J24">
        <v>0.0001134</v>
      </c>
    </row>
    <row r="25" spans="1:10">
      <c r="A25">
        <f>HYPERLINK("https://mega.nz/file/iUkwjayY#0LOEnkznso1OUcsfEpJK1Ez8U93YXvSzUIsDGoKKE98", "The Gospel of the Witches")</f>
        <v>0</v>
      </c>
      <c r="B25" t="s">
        <v>24</v>
      </c>
      <c r="C25" t="s">
        <v>508</v>
      </c>
      <c r="D25" t="s">
        <v>1804</v>
      </c>
      <c r="E25" t="s">
        <v>3117</v>
      </c>
      <c r="F25" t="s">
        <v>3131</v>
      </c>
      <c r="G25" s="2" t="s">
        <v>3155</v>
      </c>
      <c r="H25">
        <v>6.125E-05</v>
      </c>
      <c r="I25">
        <v>5.215E-05</v>
      </c>
      <c r="J25">
        <v>0.0001134</v>
      </c>
    </row>
    <row r="26" spans="1:10">
      <c r="A26">
        <f>HYPERLINK("https://mega.nz/file/uUcHnYxa#VGmJfAspREDiqXutDPpbEo-Sjm0Bi8sPBxob2GKGXHU", "Los Iberos")</f>
        <v>0</v>
      </c>
      <c r="B26" t="s">
        <v>25</v>
      </c>
      <c r="C26" t="s">
        <v>509</v>
      </c>
      <c r="D26" t="s">
        <v>1805</v>
      </c>
      <c r="E26" t="s">
        <v>3117</v>
      </c>
      <c r="F26" t="s">
        <v>3130</v>
      </c>
      <c r="G26" s="2" t="s">
        <v>3156</v>
      </c>
      <c r="H26">
        <v>5.985E-05</v>
      </c>
      <c r="I26">
        <v>6.02E-05</v>
      </c>
      <c r="J26">
        <v>0.00012005</v>
      </c>
    </row>
    <row r="27" spans="1:10">
      <c r="A27">
        <f>HYPERLINK("https://mega.nz/file/3M9CRA7A#8Auvfe9GM-PG6x-g-qRYc3Dc1-tPwuGTvxBXWyPUFrY", "Metaphysics")</f>
        <v>0</v>
      </c>
      <c r="B27" t="s">
        <v>26</v>
      </c>
      <c r="C27" t="s">
        <v>510</v>
      </c>
      <c r="D27" t="s">
        <v>1806</v>
      </c>
      <c r="E27" t="s">
        <v>3117</v>
      </c>
      <c r="F27" t="s">
        <v>3131</v>
      </c>
      <c r="G27" s="2" t="s">
        <v>3157</v>
      </c>
      <c r="H27">
        <v>5.74E-05</v>
      </c>
      <c r="I27">
        <v>6.09E-05</v>
      </c>
      <c r="J27">
        <v>0.0001183</v>
      </c>
    </row>
    <row r="28" spans="1:10">
      <c r="A28">
        <f>HYPERLINK("https://mega.nz/file/vMkiHDjC#LE1WxOtRQTfNWw9961ESE3x1JCQQKfuTkC78tqaPtt0", "el libro secreto")</f>
        <v>0</v>
      </c>
      <c r="B28" t="s">
        <v>27</v>
      </c>
      <c r="C28" t="s">
        <v>511</v>
      </c>
      <c r="D28" t="s">
        <v>1807</v>
      </c>
      <c r="E28" t="s">
        <v>3117</v>
      </c>
      <c r="F28" t="s">
        <v>3130</v>
      </c>
      <c r="G28" s="2" t="s">
        <v>3158</v>
      </c>
      <c r="H28">
        <v>5.845E-05</v>
      </c>
      <c r="I28">
        <v>5.495E-05</v>
      </c>
      <c r="J28">
        <v>0.0001134</v>
      </c>
    </row>
    <row r="29" spans="1:10">
      <c r="A29">
        <f>HYPERLINK("https://mega.nz/file/qVVzjbBR#ZrmYYuBuI6ZXNNakEeYWAnAL4qv8Y3ZZTmUPdPFn8I4", "El Poder Serpentino")</f>
        <v>0</v>
      </c>
      <c r="B29" t="s">
        <v>28</v>
      </c>
      <c r="C29" t="s">
        <v>512</v>
      </c>
      <c r="D29" t="s">
        <v>1808</v>
      </c>
      <c r="E29" t="s">
        <v>3117</v>
      </c>
      <c r="F29" t="s">
        <v>3130</v>
      </c>
      <c r="G29" s="2" t="s">
        <v>3159</v>
      </c>
      <c r="H29">
        <v>6.055E-05</v>
      </c>
      <c r="I29">
        <v>5.845E-05</v>
      </c>
      <c r="J29">
        <v>0.000119</v>
      </c>
    </row>
    <row r="30" spans="1:10">
      <c r="A30">
        <f>HYPERLINK("https://mega.nz/file/rYFVALTB#Y1q4_MsayDYkXFZWyqhGf-Q5WAL8HDBqxHqIBWKhKo0", "Pheneas Speaks")</f>
        <v>0</v>
      </c>
      <c r="B30" t="s">
        <v>29</v>
      </c>
      <c r="C30" t="s">
        <v>513</v>
      </c>
      <c r="D30" t="s">
        <v>1809</v>
      </c>
      <c r="E30" t="s">
        <v>3117</v>
      </c>
      <c r="F30" t="s">
        <v>3131</v>
      </c>
      <c r="G30" s="2" t="s">
        <v>3160</v>
      </c>
      <c r="H30">
        <v>5.95E-05</v>
      </c>
      <c r="I30">
        <v>5.39E-05</v>
      </c>
      <c r="J30">
        <v>0.0001134</v>
      </c>
    </row>
    <row r="31" spans="1:10">
      <c r="A31">
        <f>HYPERLINK("https://mega.nz/file/CEFQgTDY#GtU05T-LqQwBei0Ra2XS3hecXIU6Ciq0uur2FUS1a-s", "The History of Spiritualism I")</f>
        <v>0</v>
      </c>
      <c r="B31" t="s">
        <v>29</v>
      </c>
      <c r="C31" t="s">
        <v>514</v>
      </c>
      <c r="D31" t="s">
        <v>1810</v>
      </c>
      <c r="E31" t="s">
        <v>3117</v>
      </c>
      <c r="F31" t="s">
        <v>3131</v>
      </c>
      <c r="G31" s="2" t="s">
        <v>3161</v>
      </c>
      <c r="H31">
        <v>6.160000000000001E-05</v>
      </c>
      <c r="I31">
        <v>5.46E-05</v>
      </c>
      <c r="J31">
        <v>0.0001162</v>
      </c>
    </row>
    <row r="32" spans="1:10">
      <c r="A32">
        <f>HYPERLINK("https://mega.nz/file/TBUi0Q4C#X2qiKbwjuHx52eoFw-bAzEQipUh1Wg7arpceDyoaYQc", "The History of Spiritualism II")</f>
        <v>0</v>
      </c>
      <c r="B32" t="s">
        <v>29</v>
      </c>
      <c r="C32" t="s">
        <v>515</v>
      </c>
      <c r="D32" t="s">
        <v>1811</v>
      </c>
      <c r="E32" t="s">
        <v>3117</v>
      </c>
      <c r="F32" t="s">
        <v>3131</v>
      </c>
      <c r="G32" s="2" t="s">
        <v>3162</v>
      </c>
      <c r="H32">
        <v>6.160000000000001E-05</v>
      </c>
      <c r="I32">
        <v>5.67E-05</v>
      </c>
      <c r="J32">
        <v>0.0001183</v>
      </c>
    </row>
    <row r="33" spans="1:10">
      <c r="A33">
        <f>HYPERLINK("https://mega.nz/file/KZdRQYTZ#uxB5ht9qoC8MzRS1yibqKKazuab5PD2Hft9RX_LGrEE", "The New Revelation &amp; Vital Message")</f>
        <v>0</v>
      </c>
      <c r="B33" t="s">
        <v>29</v>
      </c>
      <c r="C33" t="s">
        <v>516</v>
      </c>
      <c r="D33" t="s">
        <v>1812</v>
      </c>
      <c r="E33" t="s">
        <v>3117</v>
      </c>
      <c r="F33" t="s">
        <v>3131</v>
      </c>
      <c r="G33" s="2" t="s">
        <v>3163</v>
      </c>
      <c r="H33">
        <v>6.160000000000001E-05</v>
      </c>
      <c r="I33">
        <v>5.04E-05</v>
      </c>
      <c r="J33">
        <v>0.000112</v>
      </c>
    </row>
    <row r="34" spans="1:10">
      <c r="A34">
        <f>HYPERLINK("https://mega.nz/file/TJ9nVSrZ#URVDKfu0xBg8pBYctvnOBuKJJ37kO7SC6te17szss64", "The Causal Body &amp; The Ego")</f>
        <v>0</v>
      </c>
      <c r="B34" t="s">
        <v>30</v>
      </c>
      <c r="C34" t="s">
        <v>517</v>
      </c>
      <c r="D34" t="s">
        <v>1813</v>
      </c>
      <c r="E34" t="s">
        <v>3117</v>
      </c>
      <c r="F34" t="s">
        <v>3131</v>
      </c>
      <c r="G34" s="2" t="s">
        <v>3164</v>
      </c>
      <c r="H34">
        <v>6.265E-05</v>
      </c>
      <c r="I34">
        <v>5.635E-05</v>
      </c>
      <c r="J34">
        <v>0.000119</v>
      </c>
    </row>
    <row r="35" spans="1:10">
      <c r="A35">
        <f>HYPERLINK("https://mega.nz/file/GREmEAbK#APcVI9lbMMUasR6f46rK-QUyVUimyEou7U_YA_iWqYg", "The Etheric Double")</f>
        <v>0</v>
      </c>
      <c r="B35" t="s">
        <v>30</v>
      </c>
      <c r="C35" t="s">
        <v>518</v>
      </c>
      <c r="D35" t="s">
        <v>1814</v>
      </c>
      <c r="E35" t="s">
        <v>3117</v>
      </c>
      <c r="F35" t="s">
        <v>3131</v>
      </c>
      <c r="G35" s="2" t="s">
        <v>3165</v>
      </c>
      <c r="H35">
        <v>5.95E-05</v>
      </c>
      <c r="I35">
        <v>4.9E-05</v>
      </c>
      <c r="J35">
        <v>0.0001085</v>
      </c>
    </row>
    <row r="36" spans="1:10">
      <c r="A36">
        <f>HYPERLINK("https://mega.nz/file/7dszUBaL#EHfWSC8UwCgdMP-yTB8VoVRPUB_dx0FxkF1HRUXssOU", "The Mental Body")</f>
        <v>0</v>
      </c>
      <c r="B36" t="s">
        <v>30</v>
      </c>
      <c r="C36" t="s">
        <v>519</v>
      </c>
      <c r="D36" t="s">
        <v>1815</v>
      </c>
      <c r="E36" t="s">
        <v>3117</v>
      </c>
      <c r="F36" t="s">
        <v>3131</v>
      </c>
      <c r="G36" s="2" t="s">
        <v>3166</v>
      </c>
      <c r="H36">
        <v>5.845E-05</v>
      </c>
      <c r="I36">
        <v>5.565E-05</v>
      </c>
      <c r="J36">
        <v>0.0001141</v>
      </c>
    </row>
    <row r="37" spans="1:10">
      <c r="A37">
        <f>HYPERLINK("https://mega.nz/file/CB8jVaIC#2Gg6HQpsv_MwDD0YtyPkRH7A-pJDLjifknezZbZqJzo", "The Book of Ceremonial Magick")</f>
        <v>0</v>
      </c>
      <c r="B37" t="s">
        <v>31</v>
      </c>
      <c r="C37" t="s">
        <v>520</v>
      </c>
      <c r="D37" t="s">
        <v>1816</v>
      </c>
      <c r="E37" t="s">
        <v>3117</v>
      </c>
      <c r="F37" t="s">
        <v>3131</v>
      </c>
      <c r="G37" s="2" t="s">
        <v>3167</v>
      </c>
      <c r="H37">
        <v>6.37E-05</v>
      </c>
      <c r="I37">
        <v>5.67E-05</v>
      </c>
      <c r="J37">
        <v>0.0001204</v>
      </c>
    </row>
    <row r="38" spans="1:10">
      <c r="A38">
        <f>HYPERLINK("https://mega.nz/file/fcEGGTYA#LV1fA_9JWjXll_cUCWoLOVSuYcV0CZwbh0wQsiRpKKU", "Aspects of Masonic Symbolism")</f>
        <v>0</v>
      </c>
      <c r="B38" t="s">
        <v>32</v>
      </c>
      <c r="C38" t="s">
        <v>521</v>
      </c>
      <c r="D38" t="s">
        <v>1817</v>
      </c>
      <c r="E38" t="s">
        <v>3120</v>
      </c>
      <c r="F38" t="s">
        <v>3131</v>
      </c>
      <c r="G38" s="2" t="s">
        <v>3168</v>
      </c>
      <c r="H38">
        <v>6.334999999999999E-05</v>
      </c>
      <c r="I38">
        <v>5.04E-05</v>
      </c>
      <c r="J38">
        <v>0.00011375</v>
      </c>
    </row>
    <row r="39" spans="1:10">
      <c r="A39">
        <f>HYPERLINK("https://mega.nz/file/nQlGCAwA#bYYrZ1tlurtxFLURJpjkGDhlrdbFJ0ZfbowRagdFyL8", "Templar Orders in Freemasonry")</f>
        <v>0</v>
      </c>
      <c r="B39" t="s">
        <v>32</v>
      </c>
      <c r="C39" t="s">
        <v>522</v>
      </c>
      <c r="D39" t="s">
        <v>1818</v>
      </c>
      <c r="E39" t="s">
        <v>3117</v>
      </c>
      <c r="F39" t="s">
        <v>3131</v>
      </c>
      <c r="G39" s="2" t="s">
        <v>3169</v>
      </c>
      <c r="H39">
        <v>6.475E-05</v>
      </c>
      <c r="I39">
        <v>5.145E-05</v>
      </c>
      <c r="J39">
        <v>0.0001162</v>
      </c>
    </row>
    <row r="40" spans="1:10">
      <c r="A40">
        <f>HYPERLINK("https://mega.nz/file/Sckg2bCA#RJOAAojUfXD5hyODpOsPc6yWEgHXvi0KMHBZpPod_zs", "The Pictorial Key to the Tarot")</f>
        <v>0</v>
      </c>
      <c r="B40" t="s">
        <v>33</v>
      </c>
      <c r="C40" t="s">
        <v>523</v>
      </c>
      <c r="D40" t="s">
        <v>1819</v>
      </c>
      <c r="E40" t="s">
        <v>1188</v>
      </c>
      <c r="F40" t="s">
        <v>3131</v>
      </c>
      <c r="G40" s="2" t="s">
        <v>3170</v>
      </c>
      <c r="H40">
        <v>6.37E-05</v>
      </c>
      <c r="I40">
        <v>5.95E-05</v>
      </c>
      <c r="J40">
        <v>0.0001232</v>
      </c>
    </row>
    <row r="41" spans="1:10">
      <c r="A41">
        <f>HYPERLINK("https://mega.nz/file/zQVTCJqI#Tx_ololsSohsK4wmjlHsoU792ttvBmP1KOiZTinU98k", "Jewish Meditation")</f>
        <v>0</v>
      </c>
      <c r="B41" t="s">
        <v>34</v>
      </c>
      <c r="C41" t="s">
        <v>524</v>
      </c>
      <c r="D41" t="s">
        <v>1820</v>
      </c>
      <c r="E41" t="s">
        <v>3117</v>
      </c>
      <c r="F41" t="s">
        <v>3131</v>
      </c>
      <c r="G41" s="2" t="s">
        <v>3171</v>
      </c>
      <c r="H41">
        <v>5.74E-05</v>
      </c>
      <c r="I41">
        <v>4.83E-05</v>
      </c>
      <c r="J41">
        <v>0.0001057</v>
      </c>
    </row>
    <row r="42" spans="1:10">
      <c r="A42">
        <f>HYPERLINK("https://mega.nz/file/LYs0wSrY#tCspWbo66_eV2mP8z2z4RMiEqsp3QGE7P6DJmrwjS4E", "La Danza de Kali")</f>
        <v>0</v>
      </c>
      <c r="B42" t="s">
        <v>35</v>
      </c>
      <c r="C42" t="s">
        <v>525</v>
      </c>
      <c r="D42" t="s">
        <v>1821</v>
      </c>
      <c r="E42" t="s">
        <v>3117</v>
      </c>
      <c r="F42" t="s">
        <v>3130</v>
      </c>
      <c r="G42" s="2" t="s">
        <v>3172</v>
      </c>
      <c r="H42">
        <v>6.125E-05</v>
      </c>
      <c r="I42">
        <v>7.07E-05</v>
      </c>
      <c r="J42">
        <v>0.00013195</v>
      </c>
    </row>
    <row r="43" spans="1:10">
      <c r="A43">
        <f>HYPERLINK("https://mega.nz/file/uMk3VSKQ#HxjBsjl9IkdIwnGQalszGO1qNIDRMvCnnolEHYRLqKQ", "Los sendros brillantes")</f>
        <v>0</v>
      </c>
      <c r="B43" t="s">
        <v>36</v>
      </c>
      <c r="C43" t="s">
        <v>526</v>
      </c>
      <c r="D43" t="s">
        <v>1822</v>
      </c>
      <c r="E43" t="s">
        <v>3117</v>
      </c>
      <c r="F43" t="s">
        <v>3130</v>
      </c>
      <c r="G43" s="2" t="s">
        <v>3173</v>
      </c>
      <c r="H43">
        <v>5.95E-05</v>
      </c>
      <c r="I43">
        <v>5.32E-05</v>
      </c>
      <c r="J43">
        <v>0.0001127</v>
      </c>
    </row>
    <row r="44" spans="1:10">
      <c r="A44">
        <f>HYPERLINK("https://mega.nz/file/2ZNBSbRI#SqzvpfmvmAV81ULVdpq-0k-t6OOjlPYtbnHh702FZkU", "magia")</f>
        <v>0</v>
      </c>
      <c r="B44" t="s">
        <v>36</v>
      </c>
      <c r="C44" t="s">
        <v>527</v>
      </c>
      <c r="D44" t="s">
        <v>1823</v>
      </c>
      <c r="E44" t="s">
        <v>3117</v>
      </c>
      <c r="F44" t="s">
        <v>3130</v>
      </c>
      <c r="G44" s="2" t="s">
        <v>3174</v>
      </c>
      <c r="H44">
        <v>5.775E-05</v>
      </c>
      <c r="I44">
        <v>5.6E-05</v>
      </c>
      <c r="J44">
        <v>0.00011375</v>
      </c>
    </row>
    <row r="45" spans="1:10">
      <c r="A45">
        <f>HYPERLINK("https://mega.nz/file/bAsjBRzZ#hRlOt7MTID-XmDoNGolgBpYPw2z98FDiqCbVRtbGYiQ", "El despertar de la fe")</f>
        <v>0</v>
      </c>
      <c r="B45" t="s">
        <v>37</v>
      </c>
      <c r="C45" t="s">
        <v>528</v>
      </c>
      <c r="D45" t="s">
        <v>1824</v>
      </c>
      <c r="E45" t="s">
        <v>3117</v>
      </c>
      <c r="F45" t="s">
        <v>3130</v>
      </c>
      <c r="G45" s="2" t="s">
        <v>3175</v>
      </c>
      <c r="H45">
        <v>6.37E-05</v>
      </c>
      <c r="I45">
        <v>6.02E-05</v>
      </c>
      <c r="J45">
        <v>0.0001239</v>
      </c>
    </row>
    <row r="46" spans="1:10">
      <c r="A46">
        <f>HYPERLINK("https://mega.nz/file/yBMF1SxT#CSzchubM8m6IRpbG1Lbhna630V09NO1gZjPYhY0L_Qs", "Aritmologia")</f>
        <v>0</v>
      </c>
      <c r="B46" t="s">
        <v>38</v>
      </c>
      <c r="C46" t="s">
        <v>529</v>
      </c>
      <c r="D46" t="s">
        <v>1825</v>
      </c>
      <c r="E46" t="s">
        <v>3117</v>
      </c>
      <c r="F46" t="s">
        <v>3131</v>
      </c>
      <c r="G46" s="2" t="s">
        <v>3176</v>
      </c>
      <c r="H46">
        <v>6.195E-05</v>
      </c>
      <c r="I46">
        <v>5.74E-05</v>
      </c>
      <c r="J46">
        <v>0.00011935</v>
      </c>
    </row>
    <row r="47" spans="1:10">
      <c r="A47">
        <f>HYPERLINK("https://mega.nz/file/CIURXIKD#t1iI88Li32PjysCuPu61SJnJO-XDSrFs8qmduIBYq0E", "Medicina Oculta Y Magia Practica")</f>
        <v>0</v>
      </c>
      <c r="B47" t="s">
        <v>39</v>
      </c>
      <c r="C47" t="s">
        <v>530</v>
      </c>
      <c r="D47" t="s">
        <v>1826</v>
      </c>
      <c r="E47" t="s">
        <v>3117</v>
      </c>
      <c r="F47" t="s">
        <v>3130</v>
      </c>
      <c r="G47" s="2" t="s">
        <v>3177</v>
      </c>
      <c r="H47">
        <v>7.105000000000001E-05</v>
      </c>
      <c r="I47">
        <v>5.81E-05</v>
      </c>
      <c r="J47">
        <v>0.00012915</v>
      </c>
    </row>
    <row r="48" spans="1:10">
      <c r="A48">
        <f>HYPERLINK("https://mega.nz/file/HZFHhQhL#KPekJKrPgkzbD-RHw8lcEWA4tQGdlpt-BQ8mSItx3Vs", "Curso Esoterico Cabala Tarot")</f>
        <v>0</v>
      </c>
      <c r="B48" t="s">
        <v>40</v>
      </c>
      <c r="C48" t="s">
        <v>531</v>
      </c>
      <c r="D48" t="s">
        <v>1827</v>
      </c>
      <c r="E48" t="s">
        <v>3118</v>
      </c>
      <c r="F48" t="s">
        <v>3131</v>
      </c>
      <c r="G48" s="2" t="s">
        <v>3178</v>
      </c>
      <c r="H48">
        <v>6.615E-05</v>
      </c>
      <c r="I48">
        <v>4.76E-05</v>
      </c>
      <c r="J48">
        <v>0.00011375</v>
      </c>
    </row>
    <row r="49" spans="1:10">
      <c r="A49">
        <f>HYPERLINK("https://mega.nz/file/LQ8CSLhB#ztgJAmlNR02PtulxaTS4iMEfSmwFHoqHWWLDvTYdcys", "Esoteric Treatise Of Hermetic Astrology")</f>
        <v>0</v>
      </c>
      <c r="B49" t="s">
        <v>40</v>
      </c>
      <c r="C49" t="s">
        <v>532</v>
      </c>
      <c r="D49" t="s">
        <v>1828</v>
      </c>
      <c r="E49" t="s">
        <v>3121</v>
      </c>
      <c r="F49" t="s">
        <v>3131</v>
      </c>
      <c r="G49" s="2" t="s">
        <v>3179</v>
      </c>
      <c r="H49">
        <v>6.58E-05</v>
      </c>
      <c r="I49">
        <v>5.88E-05</v>
      </c>
      <c r="J49">
        <v>0.0001246</v>
      </c>
    </row>
    <row r="50" spans="1:10">
      <c r="A50">
        <f>HYPERLINK("https://mega.nz/file/fI9QjSDD#f9Y7PyHuWHeBDZnNHtHXx2bySNPFeL2JgzetfhD6Xpw", "Gnosis - Manual de Magia Practica")</f>
        <v>0</v>
      </c>
      <c r="B50" t="s">
        <v>41</v>
      </c>
      <c r="C50" t="s">
        <v>533</v>
      </c>
      <c r="D50" t="s">
        <v>1829</v>
      </c>
      <c r="E50" t="s">
        <v>3122</v>
      </c>
      <c r="F50" t="s">
        <v>3130</v>
      </c>
      <c r="G50" s="2" t="s">
        <v>3180</v>
      </c>
      <c r="H50">
        <v>6.825000000000001E-05</v>
      </c>
      <c r="I50">
        <v>6.125E-05</v>
      </c>
      <c r="J50">
        <v>0.0001295</v>
      </c>
    </row>
    <row r="51" spans="1:10">
      <c r="A51">
        <f>HYPERLINK("https://mega.nz/file/fQ0VXBpY#-9YBYEaf2x8FMe2sdnvj-qDSeNiWZ5H9XQ-zL87-ddc", "Cuarta Leccion Teorica")</f>
        <v>0</v>
      </c>
      <c r="B51" t="s">
        <v>42</v>
      </c>
      <c r="C51" t="s">
        <v>534</v>
      </c>
      <c r="D51" t="s">
        <v>1830</v>
      </c>
      <c r="E51" t="s">
        <v>3117</v>
      </c>
      <c r="F51" t="s">
        <v>3131</v>
      </c>
      <c r="G51" s="2" t="s">
        <v>3181</v>
      </c>
      <c r="H51">
        <v>6.160000000000001E-05</v>
      </c>
      <c r="I51">
        <v>4.55E-05</v>
      </c>
      <c r="J51">
        <v>0.0001071</v>
      </c>
    </row>
    <row r="52" spans="1:10">
      <c r="A52">
        <f>HYPERLINK("https://mega.nz/file/CNM0kB6A#jakzNdMbGzpJokTXxZ6aYIc9DbtUfUVddSWcJRddPMs", "En el jardin del eden")</f>
        <v>0</v>
      </c>
      <c r="B52" t="s">
        <v>42</v>
      </c>
      <c r="C52" t="s">
        <v>535</v>
      </c>
      <c r="D52" t="s">
        <v>1831</v>
      </c>
      <c r="E52" t="s">
        <v>3117</v>
      </c>
      <c r="F52" t="s">
        <v>3130</v>
      </c>
      <c r="G52" s="2" t="s">
        <v>3182</v>
      </c>
      <c r="H52">
        <v>6.055E-05</v>
      </c>
      <c r="I52">
        <v>5.215E-05</v>
      </c>
      <c r="J52">
        <v>0.0001127</v>
      </c>
    </row>
    <row r="53" spans="1:10">
      <c r="A53">
        <f>HYPERLINK("https://mega.nz/file/udU03ZZA#S_zB1sVePLQZ_lOEiZ1-EW0FC1crp02XgvIAKd6RTXs", "Los pilares")</f>
        <v>0</v>
      </c>
      <c r="B53" t="s">
        <v>42</v>
      </c>
      <c r="C53" t="s">
        <v>536</v>
      </c>
      <c r="D53" t="s">
        <v>1832</v>
      </c>
      <c r="E53" t="s">
        <v>3117</v>
      </c>
      <c r="F53" t="s">
        <v>3130</v>
      </c>
      <c r="G53" s="2" t="s">
        <v>3183</v>
      </c>
      <c r="H53">
        <v>5.845E-05</v>
      </c>
      <c r="I53">
        <v>5.145E-05</v>
      </c>
      <c r="J53">
        <v>0.0001099</v>
      </c>
    </row>
    <row r="54" spans="1:10">
      <c r="A54">
        <f>HYPERLINK("https://mega.nz/file/vNsiXb4L#RaRq2RDNvOfpQMgH32UYGUy5NIFlkgdNi5wqIqvmERc", "Logomachy of Zos")</f>
        <v>0</v>
      </c>
      <c r="B54" t="s">
        <v>43</v>
      </c>
      <c r="C54" t="s">
        <v>537</v>
      </c>
      <c r="D54" t="s">
        <v>1833</v>
      </c>
      <c r="E54" t="s">
        <v>3117</v>
      </c>
      <c r="F54" t="s">
        <v>3131</v>
      </c>
      <c r="G54" s="2" t="s">
        <v>3184</v>
      </c>
      <c r="H54">
        <v>6.160000000000001E-05</v>
      </c>
      <c r="I54">
        <v>6.23E-05</v>
      </c>
      <c r="J54">
        <v>0.0001239</v>
      </c>
    </row>
    <row r="55" spans="1:10">
      <c r="A55">
        <f>HYPERLINK("https://mega.nz/file/vNdQXagC#Ox4-vElkO7B1aFOgUE2-IDmamWwNgoeJdtRrSp-j120", "A Practical Guide to Modern Magick")</f>
        <v>0</v>
      </c>
      <c r="B55" t="s">
        <v>44</v>
      </c>
      <c r="C55" t="s">
        <v>538</v>
      </c>
      <c r="D55" t="s">
        <v>1834</v>
      </c>
      <c r="E55" t="s">
        <v>3117</v>
      </c>
      <c r="F55" t="s">
        <v>3131</v>
      </c>
      <c r="G55" s="2" t="s">
        <v>3185</v>
      </c>
      <c r="H55">
        <v>6.3E-05</v>
      </c>
      <c r="I55">
        <v>6.23E-05</v>
      </c>
      <c r="J55">
        <v>0.0001253</v>
      </c>
    </row>
    <row r="56" spans="1:10">
      <c r="A56">
        <f>HYPERLINK("https://mega.nz/file/3VNxCATL#4GnkYA3p7FAXK0GjSOnXc3gLik-9R6TPjS0n0ldmpTQ", "Alexandrian Book of Shadows")</f>
        <v>0</v>
      </c>
      <c r="B56" t="s">
        <v>44</v>
      </c>
      <c r="C56" t="s">
        <v>539</v>
      </c>
      <c r="D56" t="s">
        <v>1835</v>
      </c>
      <c r="E56" t="s">
        <v>3117</v>
      </c>
      <c r="F56" t="s">
        <v>3131</v>
      </c>
      <c r="G56" s="2" t="s">
        <v>3186</v>
      </c>
      <c r="H56">
        <v>6.160000000000001E-05</v>
      </c>
      <c r="I56">
        <v>5.425E-05</v>
      </c>
      <c r="J56">
        <v>0.00011585</v>
      </c>
    </row>
    <row r="57" spans="1:10">
      <c r="A57">
        <f>HYPERLINK("https://mega.nz/file/Od1WzaYJ#RKr4RsehjRDsUB27ivuJIetz638pnMcSZQWqv1HQygc", "Amazing New Mind Power Secret")</f>
        <v>0</v>
      </c>
      <c r="B57" t="s">
        <v>44</v>
      </c>
      <c r="C57" t="s">
        <v>540</v>
      </c>
      <c r="D57" t="s">
        <v>1836</v>
      </c>
      <c r="E57" t="s">
        <v>3117</v>
      </c>
      <c r="F57" t="s">
        <v>3131</v>
      </c>
      <c r="G57" s="2" t="s">
        <v>3187</v>
      </c>
      <c r="H57">
        <v>6.09E-05</v>
      </c>
      <c r="I57">
        <v>4.97E-05</v>
      </c>
      <c r="J57">
        <v>0.0001106</v>
      </c>
    </row>
    <row r="58" spans="1:10">
      <c r="A58">
        <f>HYPERLINK("https://mega.nz/file/DVUzgbRQ#8BF2n7GkjE4om6XbfyaaLzxmmU7cVh3HyycfIR3JC50", "Antigua brujeria")</f>
        <v>0</v>
      </c>
      <c r="B58" t="s">
        <v>44</v>
      </c>
      <c r="C58" t="s">
        <v>541</v>
      </c>
      <c r="D58" t="s">
        <v>1837</v>
      </c>
      <c r="E58" t="s">
        <v>3117</v>
      </c>
      <c r="F58" t="s">
        <v>3131</v>
      </c>
      <c r="G58" s="2" t="s">
        <v>3188</v>
      </c>
      <c r="H58">
        <v>5.985E-05</v>
      </c>
      <c r="I58">
        <v>5.53E-05</v>
      </c>
      <c r="J58">
        <v>0.00011515</v>
      </c>
    </row>
    <row r="59" spans="1:10">
      <c r="A59">
        <f>HYPERLINK("https://mega.nz/file/eY91nIyJ#Ckz6N1oS9vhq6uNWpNTK-79kFFSRI1SDNDbDPmqiGmw", "Antiguo Oriente")</f>
        <v>0</v>
      </c>
      <c r="B59" t="s">
        <v>44</v>
      </c>
      <c r="C59" t="s">
        <v>542</v>
      </c>
      <c r="D59" t="s">
        <v>1838</v>
      </c>
      <c r="E59" t="s">
        <v>3117</v>
      </c>
      <c r="F59" t="s">
        <v>3131</v>
      </c>
      <c r="G59" s="2" t="s">
        <v>3189</v>
      </c>
      <c r="H59">
        <v>5.95E-05</v>
      </c>
      <c r="I59">
        <v>5.11E-05</v>
      </c>
      <c r="J59">
        <v>0.0001106</v>
      </c>
    </row>
    <row r="60" spans="1:10">
      <c r="A60">
        <f>HYPERLINK("https://mega.nz/file/fANUSCRL#bvOomeoxWN1fo8a3GBorBkM6jxD4q-NMzytvxJw-LiI", "Antiguos Ritos Místicos")</f>
        <v>0</v>
      </c>
      <c r="B60" t="s">
        <v>44</v>
      </c>
      <c r="C60" t="s">
        <v>543</v>
      </c>
      <c r="D60" t="s">
        <v>1839</v>
      </c>
      <c r="E60" t="s">
        <v>3117</v>
      </c>
      <c r="F60" t="s">
        <v>3131</v>
      </c>
      <c r="G60" s="2" t="s">
        <v>3190</v>
      </c>
      <c r="H60">
        <v>6.3E-05</v>
      </c>
      <c r="I60">
        <v>5.04E-05</v>
      </c>
      <c r="J60">
        <v>0.0001134</v>
      </c>
    </row>
    <row r="61" spans="1:10">
      <c r="A61">
        <f>HYPERLINK("https://mega.nz/file/6MFG2K6Z#q4WHCqKpyBRQs4AB8IGM6QxvGRJgDOLG3MgXzbryYWQ", "Antologia del Ocultismo")</f>
        <v>0</v>
      </c>
      <c r="B61" t="s">
        <v>44</v>
      </c>
      <c r="C61" t="s">
        <v>544</v>
      </c>
      <c r="D61" t="s">
        <v>1840</v>
      </c>
      <c r="E61" t="s">
        <v>3117</v>
      </c>
      <c r="F61" t="s">
        <v>3130</v>
      </c>
      <c r="G61" s="2" t="s">
        <v>3191</v>
      </c>
      <c r="H61">
        <v>6.160000000000001E-05</v>
      </c>
      <c r="I61">
        <v>7.175E-05</v>
      </c>
      <c r="J61">
        <v>0.00013335</v>
      </c>
    </row>
    <row r="62" spans="1:10">
      <c r="A62">
        <f>HYPERLINK("https://mega.nz/file/XBFzUILA#q-hmP5_Oej5evBrjD98Miai3xpYGhUiOD1i5WR8sptU", "AOS - Anathema of Zos")</f>
        <v>0</v>
      </c>
      <c r="B62" t="s">
        <v>44</v>
      </c>
      <c r="C62" t="s">
        <v>545</v>
      </c>
      <c r="D62" t="s">
        <v>1841</v>
      </c>
      <c r="E62" t="s">
        <v>3117</v>
      </c>
      <c r="F62" t="s">
        <v>3131</v>
      </c>
      <c r="G62" s="2" t="s">
        <v>3192</v>
      </c>
      <c r="H62">
        <v>6.405E-05</v>
      </c>
      <c r="I62">
        <v>5.46E-05</v>
      </c>
      <c r="J62">
        <v>0.00011865</v>
      </c>
    </row>
    <row r="63" spans="1:10">
      <c r="A63">
        <f>HYPERLINK("https://mega.nz/file/jAM0XbDC#dLJL3XyndP1xT0Jjvsyisn4nOopDwagxOQ7yLUYTyA4", "Apikorsus Loon")</f>
        <v>0</v>
      </c>
      <c r="B63" t="s">
        <v>44</v>
      </c>
      <c r="C63" t="s">
        <v>546</v>
      </c>
      <c r="D63" t="s">
        <v>1842</v>
      </c>
      <c r="E63" t="s">
        <v>3117</v>
      </c>
      <c r="F63" t="s">
        <v>3131</v>
      </c>
      <c r="G63" s="2" t="s">
        <v>3193</v>
      </c>
      <c r="H63">
        <v>5.985E-05</v>
      </c>
      <c r="I63">
        <v>5.46E-05</v>
      </c>
      <c r="J63">
        <v>0.00011445</v>
      </c>
    </row>
    <row r="64" spans="1:10">
      <c r="A64">
        <f>HYPERLINK("https://mega.nz/file/SNEHGQ6J#idPvwW4gHsHs2qOHr8oSGnOMR_KFO5RvMW0TlHxbdP0", "Apollo Moon Hoax")</f>
        <v>0</v>
      </c>
      <c r="B64" t="s">
        <v>44</v>
      </c>
      <c r="C64" t="s">
        <v>547</v>
      </c>
      <c r="D64" t="s">
        <v>1843</v>
      </c>
      <c r="E64" t="s">
        <v>3117</v>
      </c>
      <c r="F64" t="s">
        <v>3131</v>
      </c>
      <c r="G64" s="2" t="s">
        <v>3194</v>
      </c>
      <c r="H64">
        <v>5.88E-05</v>
      </c>
      <c r="I64">
        <v>5.775E-05</v>
      </c>
      <c r="J64">
        <v>0.00011655</v>
      </c>
    </row>
    <row r="65" spans="1:10">
      <c r="A65">
        <f>HYPERLINK("https://mega.nz/file/PJdkQIgY#oQaZVw9Cxbh-sL9JK1pzB8DN4Dp8NN90ZNP6QsAEnuY", "Aradia Gospel of the Witches")</f>
        <v>0</v>
      </c>
      <c r="B65" t="s">
        <v>44</v>
      </c>
      <c r="C65" t="s">
        <v>548</v>
      </c>
      <c r="D65" t="s">
        <v>1844</v>
      </c>
      <c r="E65" t="s">
        <v>3117</v>
      </c>
      <c r="F65" t="s">
        <v>3131</v>
      </c>
      <c r="G65" s="2" t="s">
        <v>3195</v>
      </c>
      <c r="H65">
        <v>6.195E-05</v>
      </c>
      <c r="I65">
        <v>5.88E-05</v>
      </c>
      <c r="J65">
        <v>0.00012075</v>
      </c>
    </row>
    <row r="66" spans="1:10">
      <c r="A66">
        <f>HYPERLINK("https://mega.nz/file/zc8Gxa6D#8xAdI8ZQO_nG6jJEGHBkO_2pb3fc5g6gwYPZuYu8O_4", "Aradia, Evangelio de las Brujas")</f>
        <v>0</v>
      </c>
      <c r="B66" t="s">
        <v>44</v>
      </c>
      <c r="C66" t="s">
        <v>549</v>
      </c>
      <c r="D66" t="s">
        <v>1845</v>
      </c>
      <c r="E66" t="s">
        <v>3123</v>
      </c>
      <c r="F66" t="s">
        <v>3130</v>
      </c>
      <c r="G66" s="2" t="s">
        <v>3196</v>
      </c>
      <c r="H66">
        <v>6.405E-05</v>
      </c>
      <c r="I66">
        <v>7.14E-05</v>
      </c>
      <c r="J66">
        <v>0.00013545</v>
      </c>
    </row>
    <row r="67" spans="1:10">
      <c r="A67">
        <f>HYPERLINK("https://mega.nz/file/XVUnwQzC#d6jOjB6ExAUIs9WkrUg7OoeN2vTh_pHaW5czTlZc9Pk", "Arbatel Of Magick")</f>
        <v>0</v>
      </c>
      <c r="B67" t="s">
        <v>44</v>
      </c>
      <c r="C67" t="s">
        <v>550</v>
      </c>
      <c r="D67" t="s">
        <v>1846</v>
      </c>
      <c r="E67" t="s">
        <v>3117</v>
      </c>
      <c r="F67" t="s">
        <v>3131</v>
      </c>
      <c r="G67" s="2" t="s">
        <v>3197</v>
      </c>
      <c r="H67">
        <v>6.09E-05</v>
      </c>
      <c r="I67">
        <v>5.565E-05</v>
      </c>
      <c r="J67">
        <v>0.00011655</v>
      </c>
    </row>
    <row r="68" spans="1:10">
      <c r="A68">
        <f>HYPERLINK("https://mega.nz/file/jVMCzJQT#rSdRjrzuq_2bzmTxpFp0paXxo9WS4KKQ5eqNhWoMCMA", "Arcana Mvndi Libro de La Penumbra")</f>
        <v>0</v>
      </c>
      <c r="B68" t="s">
        <v>44</v>
      </c>
      <c r="C68" t="s">
        <v>551</v>
      </c>
      <c r="D68" t="s">
        <v>1847</v>
      </c>
      <c r="E68" t="s">
        <v>3117</v>
      </c>
      <c r="F68" t="s">
        <v>3130</v>
      </c>
      <c r="G68" s="2" t="s">
        <v>3198</v>
      </c>
      <c r="H68">
        <v>6.719999999999999E-05</v>
      </c>
      <c r="I68">
        <v>6.615E-05</v>
      </c>
      <c r="J68">
        <v>0.00013335</v>
      </c>
    </row>
    <row r="69" spans="1:10">
      <c r="A69">
        <f>HYPERLINK("https://mega.nz/file/DYV2ka6R#Aur5FTzdx4s0acou1yoQkJ3hOQYAIbCJLt9qwjE8EfU", "Armanen Runes")</f>
        <v>0</v>
      </c>
      <c r="B69" t="s">
        <v>44</v>
      </c>
      <c r="C69" t="s">
        <v>552</v>
      </c>
      <c r="D69" t="s">
        <v>1848</v>
      </c>
      <c r="E69" t="s">
        <v>3124</v>
      </c>
      <c r="F69" t="s">
        <v>3131</v>
      </c>
      <c r="G69" s="2" t="s">
        <v>3199</v>
      </c>
      <c r="H69">
        <v>5.88E-05</v>
      </c>
      <c r="I69">
        <v>4.865E-05</v>
      </c>
      <c r="J69">
        <v>0.00010745</v>
      </c>
    </row>
    <row r="70" spans="1:10">
      <c r="A70">
        <f>HYPERLINK("https://mega.nz/file/qZtC3IpZ#xBLtkRHYG1qxA6CjNKSVfpe4db4MZYuO3w0lf8LyRRI", "Ars Almadel")</f>
        <v>0</v>
      </c>
      <c r="B70" t="s">
        <v>44</v>
      </c>
      <c r="C70" t="s">
        <v>553</v>
      </c>
      <c r="D70" t="s">
        <v>1849</v>
      </c>
      <c r="E70" t="s">
        <v>3117</v>
      </c>
      <c r="F70" t="s">
        <v>3131</v>
      </c>
      <c r="G70" s="2" t="s">
        <v>3200</v>
      </c>
      <c r="H70">
        <v>5.39E-05</v>
      </c>
      <c r="I70">
        <v>5.215E-05</v>
      </c>
      <c r="J70">
        <v>0.00010605</v>
      </c>
    </row>
    <row r="71" spans="1:10">
      <c r="A71">
        <f>HYPERLINK("https://mega.nz/file/qUdXjQxI#vNDy2bngSxkF28orL0kVOITPjkwEuDWCEdInN4AjA7k", "Art Images Associated with States of Expanded Consciousness: A Study of the Individual Case")</f>
        <v>0</v>
      </c>
      <c r="B71" t="s">
        <v>44</v>
      </c>
      <c r="C71" t="s">
        <v>554</v>
      </c>
      <c r="D71" t="s">
        <v>1850</v>
      </c>
      <c r="E71" t="s">
        <v>3117</v>
      </c>
      <c r="F71" t="s">
        <v>3131</v>
      </c>
      <c r="G71" s="2" t="s">
        <v>3201</v>
      </c>
      <c r="H71">
        <v>7.035E-05</v>
      </c>
      <c r="I71">
        <v>5.18E-05</v>
      </c>
      <c r="J71">
        <v>0.00012215</v>
      </c>
    </row>
    <row r="72" spans="1:10">
      <c r="A72">
        <f>HYPERLINK("https://mega.nz/file/eAMkTbAS#9V9-PUII4G2EhBEY4tRxCf6TU63gwjPQet1v7Xhloe0", "Art of Alchemy - The Doctrine of Inner Light")</f>
        <v>0</v>
      </c>
      <c r="B72" t="s">
        <v>44</v>
      </c>
      <c r="C72" t="s">
        <v>555</v>
      </c>
      <c r="D72" t="s">
        <v>1851</v>
      </c>
      <c r="E72" t="s">
        <v>1584</v>
      </c>
      <c r="F72" t="s">
        <v>3131</v>
      </c>
      <c r="G72" s="2" t="s">
        <v>3202</v>
      </c>
      <c r="H72">
        <v>6.405E-05</v>
      </c>
      <c r="I72">
        <v>5.81E-05</v>
      </c>
      <c r="J72">
        <v>0.00012215</v>
      </c>
    </row>
    <row r="73" spans="1:10">
      <c r="A73">
        <f>HYPERLINK("https://mega.nz/file/mJ8ynZiD#P_WAfW5ruGSnRv3sUMxajbgRTwXivogsC_yHM4-VfAg", "Art of True Healing")</f>
        <v>0</v>
      </c>
      <c r="B73" t="s">
        <v>44</v>
      </c>
      <c r="C73" t="s">
        <v>556</v>
      </c>
      <c r="D73" t="s">
        <v>1852</v>
      </c>
      <c r="E73" t="s">
        <v>3117</v>
      </c>
      <c r="F73" t="s">
        <v>3131</v>
      </c>
      <c r="G73" s="2" t="s">
        <v>3203</v>
      </c>
      <c r="H73">
        <v>5.88E-05</v>
      </c>
      <c r="I73">
        <v>4.935E-05</v>
      </c>
      <c r="J73">
        <v>0.00010815</v>
      </c>
    </row>
    <row r="74" spans="1:10">
      <c r="A74">
        <f>HYPERLINK("https://mega.nz/file/PZ0mxYCS#XxKv7UgmlQsIjdpWFBTp3K1DAms_CX4yInbXHXCQ2CU", "Art Of War")</f>
        <v>0</v>
      </c>
      <c r="B74" t="s">
        <v>44</v>
      </c>
      <c r="C74" t="s">
        <v>557</v>
      </c>
      <c r="D74" t="s">
        <v>1853</v>
      </c>
      <c r="E74" t="s">
        <v>3117</v>
      </c>
      <c r="F74" t="s">
        <v>3131</v>
      </c>
      <c r="G74" s="2" t="s">
        <v>3204</v>
      </c>
      <c r="H74">
        <v>5.775E-05</v>
      </c>
      <c r="I74">
        <v>5.18E-05</v>
      </c>
      <c r="J74">
        <v>0.00010955</v>
      </c>
    </row>
    <row r="75" spans="1:10">
      <c r="A75">
        <f>HYPERLINK("https://mega.nz/file/KVcWQKLK#XVs-Kyq9uwDKW1e-1o2YPfrT-iDmeEGIiG9PfemO9Iw", "Aspects of Tantra")</f>
        <v>0</v>
      </c>
      <c r="B75" t="s">
        <v>44</v>
      </c>
      <c r="C75" t="s">
        <v>558</v>
      </c>
      <c r="D75" t="s">
        <v>1854</v>
      </c>
      <c r="E75" t="s">
        <v>3119</v>
      </c>
      <c r="F75" t="s">
        <v>3131</v>
      </c>
      <c r="G75" s="2" t="s">
        <v>3205</v>
      </c>
      <c r="H75">
        <v>5.985E-05</v>
      </c>
      <c r="I75">
        <v>5.67E-05</v>
      </c>
      <c r="J75">
        <v>0.00011655</v>
      </c>
    </row>
    <row r="76" spans="1:10">
      <c r="A76">
        <f>HYPERLINK("https://mega.nz/file/PV9E1DxR#xD7dpUl1hBGR-7sLCkaYRyJHvgrkkdH5j4gcUrKUqKA", "Astral Simulacra")</f>
        <v>0</v>
      </c>
      <c r="B76" t="s">
        <v>44</v>
      </c>
      <c r="C76" t="s">
        <v>559</v>
      </c>
      <c r="D76" t="s">
        <v>1855</v>
      </c>
      <c r="E76" t="s">
        <v>3117</v>
      </c>
      <c r="F76" t="s">
        <v>3131</v>
      </c>
      <c r="G76" s="2" t="s">
        <v>3206</v>
      </c>
      <c r="H76">
        <v>5.985E-05</v>
      </c>
      <c r="I76">
        <v>5.04E-05</v>
      </c>
      <c r="J76">
        <v>0.00011025</v>
      </c>
    </row>
    <row r="77" spans="1:10">
      <c r="A77">
        <f>HYPERLINK("https://mega.nz/file/nJtjGA4Y#Ib56aWGcULbtZfoeat32OwTFVESHeDUzy3BFbZfU1EE", "ASTROBIOENERGETICA")</f>
        <v>0</v>
      </c>
      <c r="B77" t="s">
        <v>44</v>
      </c>
      <c r="C77" t="s">
        <v>560</v>
      </c>
      <c r="D77" t="s">
        <v>1856</v>
      </c>
      <c r="E77" t="s">
        <v>3117</v>
      </c>
      <c r="F77" t="s">
        <v>3131</v>
      </c>
      <c r="G77" s="2" t="s">
        <v>3207</v>
      </c>
      <c r="H77">
        <v>6.195E-05</v>
      </c>
      <c r="I77">
        <v>4.725E-05</v>
      </c>
      <c r="J77">
        <v>0.0001092</v>
      </c>
    </row>
    <row r="78" spans="1:10">
      <c r="A78">
        <f>HYPERLINK("https://mega.nz/file/OQc2hT5T#ZPcz8m00wx1iwOeLTJRkEHyXFL6BpJKNrssZoHnUrvA", "Astrology and Religion Among the Greeks and Romans")</f>
        <v>0</v>
      </c>
      <c r="B78" t="s">
        <v>44</v>
      </c>
      <c r="C78" t="s">
        <v>561</v>
      </c>
      <c r="D78" t="s">
        <v>1857</v>
      </c>
      <c r="E78" t="s">
        <v>3121</v>
      </c>
      <c r="F78" t="s">
        <v>3131</v>
      </c>
      <c r="G78" s="2" t="s">
        <v>3208</v>
      </c>
      <c r="H78">
        <v>6.86E-05</v>
      </c>
      <c r="I78">
        <v>5.32E-05</v>
      </c>
      <c r="J78">
        <v>0.0001218</v>
      </c>
    </row>
    <row r="79" spans="1:10">
      <c r="A79">
        <f>HYPERLINK("https://mega.nz/file/Hd1EWBKC#gFZ2XIL5y59vgWHM11MogMTIHahGjCJRmcK-X_I_fuo", "Astronomy and the Bible")</f>
        <v>0</v>
      </c>
      <c r="B79" t="s">
        <v>44</v>
      </c>
      <c r="C79" t="s">
        <v>562</v>
      </c>
      <c r="D79" t="s">
        <v>1858</v>
      </c>
      <c r="E79" t="s">
        <v>3117</v>
      </c>
      <c r="F79" t="s">
        <v>3131</v>
      </c>
      <c r="G79" s="2" t="s">
        <v>3209</v>
      </c>
      <c r="H79">
        <v>6.265E-05</v>
      </c>
      <c r="I79">
        <v>4.76E-05</v>
      </c>
      <c r="J79">
        <v>0.00011025</v>
      </c>
    </row>
    <row r="80" spans="1:10">
      <c r="A80">
        <f>HYPERLINK("https://mega.nz/file/rYExgYJB#GlwmWmhR8VtCKEDmGrDo6Cq-C4XNK5gFIzHLKJq4RjI", "Atana Encantamiento De Las Velas")</f>
        <v>0</v>
      </c>
      <c r="B80" t="s">
        <v>44</v>
      </c>
      <c r="C80" t="s">
        <v>563</v>
      </c>
      <c r="D80" t="s">
        <v>1859</v>
      </c>
      <c r="E80" t="s">
        <v>3117</v>
      </c>
      <c r="F80" t="s">
        <v>3130</v>
      </c>
      <c r="G80" s="2" t="s">
        <v>3210</v>
      </c>
      <c r="H80">
        <v>6.405E-05</v>
      </c>
      <c r="I80">
        <v>6.51E-05</v>
      </c>
      <c r="J80">
        <v>0.00012915</v>
      </c>
    </row>
    <row r="81" spans="1:10">
      <c r="A81">
        <f>HYPERLINK("https://mega.nz/file/yM1EER6R#LJSBvCwA6m52Alei82XUbO1fOvEwHQdfi4bZtqwvOuw", "Aurora Dorada - Acerca de la purificacion del alma")</f>
        <v>0</v>
      </c>
      <c r="B81" t="s">
        <v>44</v>
      </c>
      <c r="C81" t="s">
        <v>564</v>
      </c>
      <c r="D81" t="s">
        <v>1860</v>
      </c>
      <c r="E81" t="s">
        <v>3117</v>
      </c>
      <c r="F81" t="s">
        <v>3130</v>
      </c>
      <c r="G81" s="2" t="s">
        <v>3211</v>
      </c>
      <c r="H81">
        <v>6.615E-05</v>
      </c>
      <c r="I81">
        <v>7.49E-05</v>
      </c>
      <c r="J81">
        <v>0.00014105</v>
      </c>
    </row>
    <row r="82" spans="1:10">
      <c r="A82">
        <f>HYPERLINK("https://mega.nz/file/LZ82iRoa#A8QFDSVGslETxMm72vrIjzShGX3buLB8XShs_-iDqMk", "Aurora Dorada - Iniciacion del Grado Theoricus")</f>
        <v>0</v>
      </c>
      <c r="B82" t="s">
        <v>44</v>
      </c>
      <c r="C82" t="s">
        <v>565</v>
      </c>
      <c r="D82" t="s">
        <v>1861</v>
      </c>
      <c r="E82" t="s">
        <v>3117</v>
      </c>
      <c r="F82" t="s">
        <v>3130</v>
      </c>
      <c r="G82" s="2" t="s">
        <v>3212</v>
      </c>
      <c r="H82">
        <v>6.719999999999999E-05</v>
      </c>
      <c r="I82">
        <v>7.385000000000001E-05</v>
      </c>
      <c r="J82">
        <v>0.00014105</v>
      </c>
    </row>
    <row r="83" spans="1:10">
      <c r="A83">
        <f>HYPERLINK("https://mega.nz/file/mcky3KQC#ntvrFNEg6HZfmmQNC8Q1ME7GZk9SSsjrwWLjw8QDoMA", "Aurora Dorada - Iniciacion del neofito")</f>
        <v>0</v>
      </c>
      <c r="B83" t="s">
        <v>44</v>
      </c>
      <c r="C83" t="s">
        <v>566</v>
      </c>
      <c r="D83" t="s">
        <v>1862</v>
      </c>
      <c r="E83" t="s">
        <v>3117</v>
      </c>
      <c r="F83" t="s">
        <v>3130</v>
      </c>
      <c r="G83" s="2" t="s">
        <v>3213</v>
      </c>
      <c r="H83">
        <v>6.51E-05</v>
      </c>
      <c r="I83">
        <v>7.175E-05</v>
      </c>
      <c r="J83">
        <v>0.00013685</v>
      </c>
    </row>
    <row r="84" spans="1:10">
      <c r="A84">
        <f>HYPERLINK("https://mega.nz/file/CMERVIBC#_s8JxXnLpeTp6KdSoqzlrZUkc7PFRczU8Q_R1QHaUUc", "Aurora Dorada - Iniciacion del Zelator")</f>
        <v>0</v>
      </c>
      <c r="B84" t="s">
        <v>44</v>
      </c>
      <c r="C84" t="s">
        <v>567</v>
      </c>
      <c r="D84" t="s">
        <v>1863</v>
      </c>
      <c r="E84" t="s">
        <v>3117</v>
      </c>
      <c r="F84" t="s">
        <v>3130</v>
      </c>
      <c r="G84" s="2" t="s">
        <v>3214</v>
      </c>
      <c r="H84">
        <v>6.405E-05</v>
      </c>
      <c r="I84">
        <v>7.279999999999999E-05</v>
      </c>
      <c r="J84">
        <v>0.00013685</v>
      </c>
    </row>
    <row r="85" spans="1:10">
      <c r="A85">
        <f>HYPERLINK("https://mega.nz/file/OIMEhDSZ#PryXuU7H3EQKQ46On5dIN0_1rOuN2R0PHZWDLjNyHWg", "Aurora Dorada - Primera Leccion Teorica")</f>
        <v>0</v>
      </c>
      <c r="B85" t="s">
        <v>44</v>
      </c>
      <c r="C85" t="s">
        <v>568</v>
      </c>
      <c r="D85" t="s">
        <v>1864</v>
      </c>
      <c r="E85" t="s">
        <v>3117</v>
      </c>
      <c r="F85" t="s">
        <v>3131</v>
      </c>
      <c r="G85" s="2" t="s">
        <v>3215</v>
      </c>
      <c r="H85">
        <v>6.405E-05</v>
      </c>
      <c r="I85">
        <v>5.53E-05</v>
      </c>
      <c r="J85">
        <v>0.00011935</v>
      </c>
    </row>
    <row r="86" spans="1:10">
      <c r="A86">
        <f>HYPERLINK("https://mega.nz/file/WdUkkBaT#nKzHdP1Ytb75tD03Ka9NqFeVAYhsSsLqDnLSE3WtZdk", "Aurora Dorada - Tercera Leccion Teorica")</f>
        <v>0</v>
      </c>
      <c r="B86" t="s">
        <v>44</v>
      </c>
      <c r="C86" t="s">
        <v>569</v>
      </c>
      <c r="D86" t="s">
        <v>1865</v>
      </c>
      <c r="E86" t="s">
        <v>3117</v>
      </c>
      <c r="F86" t="s">
        <v>3131</v>
      </c>
      <c r="G86" s="2" t="s">
        <v>3216</v>
      </c>
      <c r="H86">
        <v>6.51E-05</v>
      </c>
      <c r="I86">
        <v>5.215E-05</v>
      </c>
      <c r="J86">
        <v>0.00011725</v>
      </c>
    </row>
    <row r="87" spans="1:10">
      <c r="A87">
        <f>HYPERLINK("https://mega.nz/file/DNsWQJ7A#tXXioNpE86qIN1dlHa0YZOJT9xWW_42XOSri9y7cESU", "Aurum Solis")</f>
        <v>0</v>
      </c>
      <c r="B87" t="s">
        <v>44</v>
      </c>
      <c r="C87" t="s">
        <v>570</v>
      </c>
      <c r="D87" t="s">
        <v>1866</v>
      </c>
      <c r="E87" t="s">
        <v>3117</v>
      </c>
      <c r="F87" t="s">
        <v>3131</v>
      </c>
      <c r="G87" s="2" t="s">
        <v>3217</v>
      </c>
      <c r="H87">
        <v>5.88E-05</v>
      </c>
      <c r="I87">
        <v>4.445E-05</v>
      </c>
      <c r="J87">
        <v>0.00010325</v>
      </c>
    </row>
    <row r="88" spans="1:10">
      <c r="A88">
        <f>HYPERLINK("https://mega.nz/file/OcUFHJzZ#GZd_zQrAGN73Vo91taKoWgnerc_dsvxuGf7mhdBdjIc", "Babylonian Magic and Sorcery")</f>
        <v>0</v>
      </c>
      <c r="B88" t="s">
        <v>44</v>
      </c>
      <c r="C88" t="s">
        <v>571</v>
      </c>
      <c r="D88" t="s">
        <v>1867</v>
      </c>
      <c r="E88" t="s">
        <v>3117</v>
      </c>
      <c r="F88" t="s">
        <v>3131</v>
      </c>
      <c r="G88" s="2" t="s">
        <v>3218</v>
      </c>
      <c r="H88">
        <v>6.195E-05</v>
      </c>
      <c r="I88">
        <v>4.97E-05</v>
      </c>
      <c r="J88">
        <v>0.00011165</v>
      </c>
    </row>
    <row r="89" spans="1:10">
      <c r="A89">
        <f>HYPERLINK("https://mega.nz/file/OFUGzbbJ#QTRYOL2Yxs1m1vHIFy0JMIWed-0bHhWgW_UAdEJtdvc", "Banishing the Slave Gods")</f>
        <v>0</v>
      </c>
      <c r="B89" t="s">
        <v>44</v>
      </c>
      <c r="C89" t="s">
        <v>572</v>
      </c>
      <c r="D89" t="s">
        <v>1868</v>
      </c>
      <c r="E89" t="s">
        <v>3117</v>
      </c>
      <c r="F89" t="s">
        <v>3131</v>
      </c>
      <c r="G89" s="2" t="s">
        <v>3219</v>
      </c>
      <c r="H89">
        <v>5.985E-05</v>
      </c>
      <c r="I89">
        <v>4.97E-05</v>
      </c>
      <c r="J89">
        <v>0.00010955</v>
      </c>
    </row>
    <row r="90" spans="1:10">
      <c r="A90">
        <f>HYPERLINK("https://mega.nz/file/WQcECLaC#hh8X4tQAlReymHkxdur8rpVRSaK2M-AS9BseuE6pNbc", "Basic Technologies of Witchcraft")</f>
        <v>0</v>
      </c>
      <c r="B90" t="s">
        <v>44</v>
      </c>
      <c r="C90" t="s">
        <v>573</v>
      </c>
      <c r="D90" t="s">
        <v>1869</v>
      </c>
      <c r="E90" t="s">
        <v>3123</v>
      </c>
      <c r="F90" t="s">
        <v>3131</v>
      </c>
      <c r="G90" s="2" t="s">
        <v>3220</v>
      </c>
      <c r="H90">
        <v>5.985E-05</v>
      </c>
      <c r="I90">
        <v>4.76E-05</v>
      </c>
      <c r="J90">
        <v>0.00010745</v>
      </c>
    </row>
    <row r="91" spans="1:10">
      <c r="A91">
        <f>HYPERLINK("https://mega.nz/file/GdMVkSrC#mIPaSMKZWYeb2MYzjkRD3cpDpNKuBxHAkTtPuTbzNCk", "Bear in Human Imagination and in Ritual")</f>
        <v>0</v>
      </c>
      <c r="B91" t="s">
        <v>44</v>
      </c>
      <c r="C91" t="s">
        <v>574</v>
      </c>
      <c r="D91" t="s">
        <v>1870</v>
      </c>
      <c r="E91" t="s">
        <v>3117</v>
      </c>
      <c r="F91" t="s">
        <v>3131</v>
      </c>
      <c r="G91" s="2" t="s">
        <v>3221</v>
      </c>
      <c r="H91">
        <v>6.195E-05</v>
      </c>
      <c r="I91">
        <v>4.76E-05</v>
      </c>
      <c r="J91">
        <v>0.00010955</v>
      </c>
    </row>
    <row r="92" spans="1:10">
      <c r="A92">
        <f>HYPERLINK("https://mega.nz/file/vc01UZiJ#l1y2H1CYVQo96QgGfgqNPhQMK1E_S3BItk-UofPL4fg", "Beholders of Night")</f>
        <v>0</v>
      </c>
      <c r="B92" t="s">
        <v>44</v>
      </c>
      <c r="C92" t="s">
        <v>575</v>
      </c>
      <c r="D92" t="s">
        <v>1871</v>
      </c>
      <c r="E92" t="s">
        <v>3117</v>
      </c>
      <c r="F92" t="s">
        <v>3131</v>
      </c>
      <c r="G92" s="2" t="s">
        <v>3222</v>
      </c>
      <c r="H92">
        <v>5.915E-05</v>
      </c>
      <c r="I92">
        <v>5.425E-05</v>
      </c>
      <c r="J92">
        <v>0.0001134</v>
      </c>
    </row>
    <row r="93" spans="1:10">
      <c r="A93">
        <f>HYPERLINK("https://mega.nz/file/rRdwXaoa#ZfGm_xLEcglGvNrTatIxfAT4XpJDZ7zHxLpIMyayIHA", "Berashith")</f>
        <v>0</v>
      </c>
      <c r="B93" t="s">
        <v>44</v>
      </c>
      <c r="C93" t="s">
        <v>576</v>
      </c>
      <c r="D93" t="s">
        <v>1872</v>
      </c>
      <c r="E93" t="s">
        <v>3117</v>
      </c>
      <c r="F93" t="s">
        <v>3131</v>
      </c>
      <c r="G93" s="2" t="s">
        <v>3223</v>
      </c>
      <c r="H93">
        <v>5.775E-05</v>
      </c>
      <c r="I93">
        <v>5.39E-05</v>
      </c>
      <c r="J93">
        <v>0.00011165</v>
      </c>
    </row>
    <row r="94" spans="1:10">
      <c r="A94">
        <f>HYPERLINK("https://mega.nz/file/rFUV2CiC#h5Fb6YK5-gZ1fARdV4CehVTNMNvXdFUVxhF6C3Ny4uw", "Black magic curses &amp; spells")</f>
        <v>0</v>
      </c>
      <c r="B94" t="s">
        <v>44</v>
      </c>
      <c r="C94" t="s">
        <v>577</v>
      </c>
      <c r="D94" t="s">
        <v>1873</v>
      </c>
      <c r="E94" t="s">
        <v>3117</v>
      </c>
      <c r="F94" t="s">
        <v>3131</v>
      </c>
      <c r="G94" s="2" t="s">
        <v>3224</v>
      </c>
      <c r="H94">
        <v>5.985E-05</v>
      </c>
      <c r="I94">
        <v>5.95E-05</v>
      </c>
      <c r="J94">
        <v>0.00011935</v>
      </c>
    </row>
    <row r="95" spans="1:10">
      <c r="A95">
        <f>HYPERLINK("https://mega.nz/file/HUlDSbwD#Z-PX-75WJWurznOlmA4FMf_c-qLrGHxUmOIICM2txrs", "Black Pullet")</f>
        <v>0</v>
      </c>
      <c r="B95" t="s">
        <v>44</v>
      </c>
      <c r="C95" t="s">
        <v>578</v>
      </c>
      <c r="D95" t="s">
        <v>1874</v>
      </c>
      <c r="E95" t="s">
        <v>3117</v>
      </c>
      <c r="F95" t="s">
        <v>3131</v>
      </c>
      <c r="G95" s="2" t="s">
        <v>3225</v>
      </c>
      <c r="H95">
        <v>5.775E-05</v>
      </c>
      <c r="I95">
        <v>4.9E-05</v>
      </c>
      <c r="J95">
        <v>0.00010675</v>
      </c>
    </row>
    <row r="96" spans="1:10">
      <c r="A96">
        <f>HYPERLINK("https://mega.nz/file/DQVAUTqR#jLshSfi1Wha4h2AdOQKdlbMrDS7iOEcWOto9Rt99osU", "Black Witchcraft")</f>
        <v>0</v>
      </c>
      <c r="B96" t="s">
        <v>44</v>
      </c>
      <c r="C96" t="s">
        <v>579</v>
      </c>
      <c r="D96" t="s">
        <v>1875</v>
      </c>
      <c r="E96" t="s">
        <v>3123</v>
      </c>
      <c r="F96" t="s">
        <v>3131</v>
      </c>
      <c r="G96" s="2" t="s">
        <v>3226</v>
      </c>
      <c r="H96">
        <v>5.775E-05</v>
      </c>
      <c r="I96">
        <v>4.55E-05</v>
      </c>
      <c r="J96">
        <v>0.00010325</v>
      </c>
    </row>
    <row r="97" spans="1:10">
      <c r="A97">
        <f>HYPERLINK("https://mega.nz/file/uUsAlSzT#CzNTSaceebtQmvJ8qbumD62WTL5EH3UedpxS40l-J3g", "Blackout and Sigils")</f>
        <v>0</v>
      </c>
      <c r="B97" t="s">
        <v>44</v>
      </c>
      <c r="C97" t="s">
        <v>580</v>
      </c>
      <c r="D97" t="s">
        <v>1876</v>
      </c>
      <c r="E97" t="s">
        <v>3117</v>
      </c>
      <c r="F97" t="s">
        <v>3131</v>
      </c>
      <c r="G97" s="2" t="s">
        <v>3227</v>
      </c>
      <c r="H97">
        <v>5.985E-05</v>
      </c>
      <c r="I97">
        <v>4.55E-05</v>
      </c>
      <c r="J97">
        <v>0.00010535</v>
      </c>
    </row>
    <row r="98" spans="1:10">
      <c r="A98">
        <f>HYPERLINK("https://mega.nz/file/KUdABZ7R#24ZG2pjtcyVkK6KOWs5t2FwocUcwM--dP0PNDQlDCaA", "Blue Planet Project")</f>
        <v>0</v>
      </c>
      <c r="B98" t="s">
        <v>44</v>
      </c>
      <c r="C98" t="s">
        <v>581</v>
      </c>
      <c r="D98" t="s">
        <v>1877</v>
      </c>
      <c r="E98" t="s">
        <v>3117</v>
      </c>
      <c r="F98" t="s">
        <v>3131</v>
      </c>
      <c r="G98" s="2" t="s">
        <v>3228</v>
      </c>
      <c r="H98">
        <v>5.845E-05</v>
      </c>
      <c r="I98">
        <v>4.76E-05</v>
      </c>
      <c r="J98">
        <v>0.00010605</v>
      </c>
    </row>
    <row r="99" spans="1:10">
      <c r="A99">
        <f>HYPERLINK("https://mega.nz/file/rR1VzJLK#a_g_7PKAHkGcJlB1EbzABusS8ouWRT63VR-ukwbp-uM", "Body of God")</f>
        <v>0</v>
      </c>
      <c r="B99" t="s">
        <v>44</v>
      </c>
      <c r="C99" t="s">
        <v>582</v>
      </c>
      <c r="D99" t="s">
        <v>1878</v>
      </c>
      <c r="E99" t="s">
        <v>3117</v>
      </c>
      <c r="F99" t="s">
        <v>3131</v>
      </c>
      <c r="G99" s="2" t="s">
        <v>3229</v>
      </c>
      <c r="H99">
        <v>5.775E-05</v>
      </c>
      <c r="I99">
        <v>5.04E-05</v>
      </c>
      <c r="J99">
        <v>0.00010815</v>
      </c>
    </row>
    <row r="100" spans="1:10">
      <c r="A100">
        <f>HYPERLINK("https://mega.nz/file/qREikBqK#VfSk4Cyhd1H3Y4osLU27wn3uisnNgQkQKxc1U70yLW0", "Book 1 of Wicca")</f>
        <v>0</v>
      </c>
      <c r="B100" t="s">
        <v>44</v>
      </c>
      <c r="C100" t="s">
        <v>583</v>
      </c>
      <c r="D100" t="s">
        <v>1879</v>
      </c>
      <c r="E100" t="s">
        <v>3123</v>
      </c>
      <c r="F100" t="s">
        <v>3131</v>
      </c>
      <c r="G100" s="2" t="s">
        <v>3230</v>
      </c>
      <c r="H100">
        <v>6.195E-05</v>
      </c>
      <c r="I100">
        <v>5.425E-05</v>
      </c>
      <c r="J100">
        <v>0.0001162</v>
      </c>
    </row>
    <row r="101" spans="1:10">
      <c r="A101">
        <f>HYPERLINK("https://mega.nz/file/HRNGSKKJ#a9jOMSRVGGvILvRq786TAciEbdmIpH9KKQSuTA0KdQs", "Book of Am Tuat")</f>
        <v>0</v>
      </c>
      <c r="B101" t="s">
        <v>44</v>
      </c>
      <c r="C101" t="s">
        <v>584</v>
      </c>
      <c r="D101" t="s">
        <v>1880</v>
      </c>
      <c r="E101" t="s">
        <v>3117</v>
      </c>
      <c r="F101" t="s">
        <v>3131</v>
      </c>
      <c r="G101" s="2" t="s">
        <v>3231</v>
      </c>
      <c r="H101">
        <v>5.985E-05</v>
      </c>
      <c r="I101">
        <v>5.74E-05</v>
      </c>
      <c r="J101">
        <v>0.00011725</v>
      </c>
    </row>
    <row r="102" spans="1:10">
      <c r="A102">
        <f>HYPERLINK("https://mega.nz/file/HNN3RB6a#lp5-vus_TKY1kb6-292OxJ9WuFKfWuoCv4IR6OTs8Mc", "Book of Doom")</f>
        <v>0</v>
      </c>
      <c r="B102" t="s">
        <v>44</v>
      </c>
      <c r="C102" t="s">
        <v>585</v>
      </c>
      <c r="D102" t="s">
        <v>1881</v>
      </c>
      <c r="E102" t="s">
        <v>3117</v>
      </c>
      <c r="F102" t="s">
        <v>3131</v>
      </c>
      <c r="G102" s="2" t="s">
        <v>3232</v>
      </c>
      <c r="H102">
        <v>5.775E-05</v>
      </c>
      <c r="I102">
        <v>5.25E-05</v>
      </c>
      <c r="J102">
        <v>0.00011025</v>
      </c>
    </row>
    <row r="103" spans="1:10">
      <c r="A103">
        <f>HYPERLINK("https://mega.nz/file/rYl0VIRL#zDmhTgQp6vytoBPZ5k2uRVvvWgG5Znps0KoV3SyRWf8", "Book of Gates")</f>
        <v>0</v>
      </c>
      <c r="B103" t="s">
        <v>44</v>
      </c>
      <c r="C103" t="s">
        <v>586</v>
      </c>
      <c r="D103" t="s">
        <v>1882</v>
      </c>
      <c r="E103" t="s">
        <v>3117</v>
      </c>
      <c r="F103" t="s">
        <v>3131</v>
      </c>
      <c r="G103" s="2" t="s">
        <v>3233</v>
      </c>
      <c r="H103">
        <v>5.775E-05</v>
      </c>
      <c r="I103">
        <v>5.25E-05</v>
      </c>
      <c r="J103">
        <v>0.00011025</v>
      </c>
    </row>
    <row r="104" spans="1:10">
      <c r="A104">
        <f>HYPERLINK("https://mega.nz/file/TJ0mVSAL#gDY1Sonsg_R8Ten6McT0dn9EoPMxka2iy18pQJguiPw", "Book of Pleasure")</f>
        <v>0</v>
      </c>
      <c r="B104" t="s">
        <v>44</v>
      </c>
      <c r="C104" t="s">
        <v>507</v>
      </c>
      <c r="D104" t="s">
        <v>1883</v>
      </c>
      <c r="E104" t="s">
        <v>3117</v>
      </c>
      <c r="F104" t="s">
        <v>3131</v>
      </c>
      <c r="G104" s="2" t="s">
        <v>3234</v>
      </c>
      <c r="H104">
        <v>5.775E-05</v>
      </c>
      <c r="I104">
        <v>5.25E-05</v>
      </c>
      <c r="J104">
        <v>0.00011025</v>
      </c>
    </row>
    <row r="105" spans="1:10">
      <c r="A105">
        <f>HYPERLINK("https://mega.nz/file/SdlSQQJK#oE8aVbu3lPN1OQ19hUu3k6KRL9GWXZ9DaNhGDx_KEBw", "Book of Satyrs")</f>
        <v>0</v>
      </c>
      <c r="B105" t="s">
        <v>44</v>
      </c>
      <c r="C105" t="s">
        <v>587</v>
      </c>
      <c r="D105" t="s">
        <v>1884</v>
      </c>
      <c r="E105" t="s">
        <v>3117</v>
      </c>
      <c r="F105" t="s">
        <v>3131</v>
      </c>
      <c r="G105" s="2" t="s">
        <v>3235</v>
      </c>
      <c r="H105">
        <v>5.985E-05</v>
      </c>
      <c r="I105">
        <v>4.865E-05</v>
      </c>
      <c r="J105">
        <v>0.0001085</v>
      </c>
    </row>
    <row r="106" spans="1:10">
      <c r="A106">
        <f>HYPERLINK("https://mega.nz/file/iRcwSCpb#nSor8LxPYFnavn1aRy0mpSDnq3IS81pz4DvBzElWB2g", "Book of the Witch Moon")</f>
        <v>0</v>
      </c>
      <c r="B106" t="s">
        <v>44</v>
      </c>
      <c r="C106" t="s">
        <v>588</v>
      </c>
      <c r="D106" t="s">
        <v>1885</v>
      </c>
      <c r="E106" t="s">
        <v>3117</v>
      </c>
      <c r="F106" t="s">
        <v>3131</v>
      </c>
      <c r="G106" s="2" t="s">
        <v>3236</v>
      </c>
      <c r="H106">
        <v>5.985E-05</v>
      </c>
      <c r="I106">
        <v>5.18E-05</v>
      </c>
      <c r="J106">
        <v>0.00011165</v>
      </c>
    </row>
    <row r="107" spans="1:10">
      <c r="A107">
        <f>HYPERLINK("https://mega.nz/file/7ZU3XY5C#WMoZ2lbW244CNEC6vJoIt8qMUUWzbgrTBtATxEa0fyE", "Book of Wamphyri and Shadows")</f>
        <v>0</v>
      </c>
      <c r="B107" t="s">
        <v>44</v>
      </c>
      <c r="C107" t="s">
        <v>589</v>
      </c>
      <c r="D107" t="s">
        <v>1886</v>
      </c>
      <c r="E107" t="s">
        <v>3117</v>
      </c>
      <c r="F107" t="s">
        <v>3131</v>
      </c>
      <c r="G107" s="2" t="s">
        <v>3237</v>
      </c>
      <c r="H107">
        <v>6.195E-05</v>
      </c>
      <c r="I107">
        <v>5.39E-05</v>
      </c>
      <c r="J107">
        <v>0.00011585</v>
      </c>
    </row>
    <row r="108" spans="1:10">
      <c r="A108">
        <f>HYPERLINK("https://mega.nz/file/bMNiFTSZ#QZDlP5pZBxp3nm302tDsliVvZVQ37tiqXqTfHgzeAts", "Book T - The Tarot")</f>
        <v>0</v>
      </c>
      <c r="B108" t="s">
        <v>44</v>
      </c>
      <c r="C108" t="s">
        <v>590</v>
      </c>
      <c r="D108" t="s">
        <v>1887</v>
      </c>
      <c r="E108" t="s">
        <v>1188</v>
      </c>
      <c r="F108" t="s">
        <v>3131</v>
      </c>
      <c r="G108" s="2" t="s">
        <v>3238</v>
      </c>
      <c r="H108">
        <v>5.985E-05</v>
      </c>
      <c r="I108">
        <v>6.09E-05</v>
      </c>
      <c r="J108">
        <v>0.00012075</v>
      </c>
    </row>
    <row r="109" spans="1:10">
      <c r="A109">
        <f>HYPERLINK("https://mega.nz/file/3A00jbzY#D9cfnQnk7Q4EXRE_t6d5Tbk4GnRzDwR-lJCLtfGR484", "Budismo y su Aplicación en la Psicoterapia Posmoderna")</f>
        <v>0</v>
      </c>
      <c r="B109" t="s">
        <v>44</v>
      </c>
      <c r="C109" t="s">
        <v>591</v>
      </c>
      <c r="D109" t="s">
        <v>1888</v>
      </c>
      <c r="E109" t="s">
        <v>3119</v>
      </c>
      <c r="F109" t="s">
        <v>3130</v>
      </c>
      <c r="G109" s="2" t="s">
        <v>3239</v>
      </c>
      <c r="H109">
        <v>7.385000000000001E-05</v>
      </c>
      <c r="I109">
        <v>6.685E-05</v>
      </c>
      <c r="J109">
        <v>0.0001407</v>
      </c>
    </row>
    <row r="110" spans="1:10">
      <c r="A110">
        <f>HYPERLINK("https://mega.nz/file/PUMjhDDS#tgdIwyXaeNe2dRnn7brqSmPL3HZ3n6D1XGQL8nER0Xs", "Chaldean Oracles")</f>
        <v>0</v>
      </c>
      <c r="B110" t="s">
        <v>44</v>
      </c>
      <c r="C110" t="s">
        <v>592</v>
      </c>
      <c r="D110" t="s">
        <v>1889</v>
      </c>
      <c r="E110" t="s">
        <v>3117</v>
      </c>
      <c r="F110" t="s">
        <v>3131</v>
      </c>
      <c r="G110" s="2" t="s">
        <v>3240</v>
      </c>
      <c r="H110">
        <v>5.985E-05</v>
      </c>
      <c r="I110">
        <v>5.18E-05</v>
      </c>
      <c r="J110">
        <v>0.00011165</v>
      </c>
    </row>
    <row r="111" spans="1:10">
      <c r="A111">
        <f>HYPERLINK("https://mega.nz/file/qI133DaL#dLH_2Si78bIWtsbj3_sMmWcVpETO7OiWG0lyOsopdhw", "Chaos Magick")</f>
        <v>0</v>
      </c>
      <c r="B111" t="s">
        <v>44</v>
      </c>
      <c r="C111" t="s">
        <v>593</v>
      </c>
      <c r="D111" t="s">
        <v>1890</v>
      </c>
      <c r="E111" t="s">
        <v>3125</v>
      </c>
      <c r="F111" t="s">
        <v>3131</v>
      </c>
      <c r="G111" s="2" t="s">
        <v>3241</v>
      </c>
      <c r="H111">
        <v>5.495E-05</v>
      </c>
      <c r="I111">
        <v>5.25E-05</v>
      </c>
      <c r="J111">
        <v>0.00010745</v>
      </c>
    </row>
    <row r="112" spans="1:10">
      <c r="A112">
        <f>HYPERLINK("https://mega.nz/file/XYl2QTCA#9W7Zq9cRt_VJCuA8JN-H-2loeadXifuuRKqcclBD0rM", "Clairvoyance - Seeing With Your Spiritual Eyes")</f>
        <v>0</v>
      </c>
      <c r="B112" t="s">
        <v>44</v>
      </c>
      <c r="C112" t="s">
        <v>594</v>
      </c>
      <c r="D112" t="s">
        <v>1891</v>
      </c>
      <c r="E112" t="s">
        <v>3117</v>
      </c>
      <c r="F112" t="s">
        <v>3131</v>
      </c>
      <c r="G112" s="2" t="s">
        <v>3242</v>
      </c>
      <c r="H112">
        <v>6.615E-05</v>
      </c>
      <c r="I112">
        <v>5.425E-05</v>
      </c>
      <c r="J112">
        <v>0.0001204</v>
      </c>
    </row>
    <row r="113" spans="1:10">
      <c r="A113">
        <f>HYPERLINK("https://mega.nz/file/XU8lgbjS#PFQdIySZgxIjqCrd37nFAx1QC2nhW-b74LA8Uu8Pevg", "Clairvoyance A Beginners Guide")</f>
        <v>0</v>
      </c>
      <c r="B113" t="s">
        <v>44</v>
      </c>
      <c r="C113" t="s">
        <v>595</v>
      </c>
      <c r="D113" t="s">
        <v>1892</v>
      </c>
      <c r="E113" t="s">
        <v>3117</v>
      </c>
      <c r="F113" t="s">
        <v>3131</v>
      </c>
      <c r="G113" s="2" t="s">
        <v>3243</v>
      </c>
      <c r="H113">
        <v>6.37E-05</v>
      </c>
      <c r="I113">
        <v>4.9E-05</v>
      </c>
      <c r="J113">
        <v>0.0001127</v>
      </c>
    </row>
    <row r="114" spans="1:10">
      <c r="A114">
        <f>HYPERLINK("https://mega.nz/file/iRVE0ShB#0VHiJcgTqiUOhm9woMhKK07Z5LT_cZwV5GKkEkCnb6M", "Clairvoyance In Today's World")</f>
        <v>0</v>
      </c>
      <c r="B114" t="s">
        <v>44</v>
      </c>
      <c r="C114" t="s">
        <v>596</v>
      </c>
      <c r="D114" t="s">
        <v>1893</v>
      </c>
      <c r="E114" t="s">
        <v>3117</v>
      </c>
      <c r="F114" t="s">
        <v>3131</v>
      </c>
      <c r="G114" s="2" t="s">
        <v>3244</v>
      </c>
      <c r="H114">
        <v>6.545000000000001E-05</v>
      </c>
      <c r="I114">
        <v>5.32E-05</v>
      </c>
      <c r="J114">
        <v>0.00011865</v>
      </c>
    </row>
    <row r="115" spans="1:10">
      <c r="A115">
        <f>HYPERLINK("https://mega.nz/file/TN1WAKiT#5CRsh4jf2Pjz1QGaXddpM3HRzrtepzCa0jEfaGKdoz8", "Clave Mayor de Salomon")</f>
        <v>0</v>
      </c>
      <c r="B115" t="s">
        <v>44</v>
      </c>
      <c r="C115" t="s">
        <v>597</v>
      </c>
      <c r="D115" t="s">
        <v>1894</v>
      </c>
      <c r="E115" t="s">
        <v>3117</v>
      </c>
      <c r="F115" t="s">
        <v>3130</v>
      </c>
      <c r="G115" s="2" t="s">
        <v>3245</v>
      </c>
      <c r="H115">
        <v>5.985E-05</v>
      </c>
      <c r="I115">
        <v>6.37E-05</v>
      </c>
      <c r="J115">
        <v>0.00012355</v>
      </c>
    </row>
    <row r="116" spans="1:10">
      <c r="A116">
        <f>HYPERLINK("https://mega.nz/file/3YFkSSQS#oirFupoj5GORHE72FcsmP_8T7RZ4O-S6z5OlATOVutY", "Claviculas De Salomon clave menor")</f>
        <v>0</v>
      </c>
      <c r="B116" t="s">
        <v>44</v>
      </c>
      <c r="C116" t="s">
        <v>598</v>
      </c>
      <c r="D116" t="s">
        <v>1895</v>
      </c>
      <c r="E116" t="s">
        <v>3117</v>
      </c>
      <c r="F116" t="s">
        <v>3130</v>
      </c>
      <c r="G116" s="2" t="s">
        <v>3246</v>
      </c>
      <c r="H116">
        <v>6.195E-05</v>
      </c>
      <c r="I116">
        <v>6.51E-05</v>
      </c>
      <c r="J116">
        <v>0.00012705</v>
      </c>
    </row>
    <row r="117" spans="1:10">
      <c r="A117">
        <f>HYPERLINK("https://mega.nz/file/2MthRJjD#YBnfujGtNAXWv6HeycGk1lpBLr5VsoAIdmwaa87LMng", "Combat magick")</f>
        <v>0</v>
      </c>
      <c r="B117" t="s">
        <v>44</v>
      </c>
      <c r="C117" t="s">
        <v>599</v>
      </c>
      <c r="D117" t="s">
        <v>1896</v>
      </c>
      <c r="E117" t="s">
        <v>3117</v>
      </c>
      <c r="F117" t="s">
        <v>3131</v>
      </c>
      <c r="G117" s="2" t="s">
        <v>3247</v>
      </c>
      <c r="H117">
        <v>5.74E-05</v>
      </c>
      <c r="I117">
        <v>5.075E-05</v>
      </c>
      <c r="J117">
        <v>0.00010815</v>
      </c>
    </row>
    <row r="118" spans="1:10">
      <c r="A118">
        <f>HYPERLINK("https://mega.nz/file/ad9TnTZB#cugR-cJMc_AzwZ3Ma5uZOtGa2TFzuxN5aye04qz_-Qk", "Como Leer El Cuerpo")</f>
        <v>0</v>
      </c>
      <c r="B118" t="s">
        <v>44</v>
      </c>
      <c r="C118" t="s">
        <v>600</v>
      </c>
      <c r="D118" t="s">
        <v>1897</v>
      </c>
      <c r="E118" t="s">
        <v>3117</v>
      </c>
      <c r="F118" t="s">
        <v>3130</v>
      </c>
      <c r="G118" s="2" t="s">
        <v>3248</v>
      </c>
      <c r="H118">
        <v>6.02E-05</v>
      </c>
      <c r="I118">
        <v>7.315E-05</v>
      </c>
      <c r="J118">
        <v>0.00013335</v>
      </c>
    </row>
    <row r="119" spans="1:10">
      <c r="A119">
        <f>HYPERLINK("https://mega.nz/file/acF1VBza#e7SiTuimBOAUjXXoyqpID2nKSOBctKPKPJUrkFIgAOs", "Con el diablo en el cuerpo")</f>
        <v>0</v>
      </c>
      <c r="B119" t="s">
        <v>44</v>
      </c>
      <c r="C119" t="s">
        <v>601</v>
      </c>
      <c r="D119" t="s">
        <v>1898</v>
      </c>
      <c r="E119" t="s">
        <v>3117</v>
      </c>
      <c r="F119" t="s">
        <v>3130</v>
      </c>
      <c r="G119" s="2" t="s">
        <v>3249</v>
      </c>
      <c r="H119">
        <v>6.405E-05</v>
      </c>
      <c r="I119">
        <v>6.23E-05</v>
      </c>
      <c r="J119">
        <v>0.00012635</v>
      </c>
    </row>
    <row r="120" spans="1:10">
      <c r="A120">
        <f>HYPERLINK("https://mega.nz/file/KFdBSC4R#4nalP9rWgZyDp_DFDLzT5TJsfGquXcj1NDPAwYgfRqA", "Corpus hermeticum")</f>
        <v>0</v>
      </c>
      <c r="B120" t="s">
        <v>44</v>
      </c>
      <c r="C120" t="s">
        <v>602</v>
      </c>
      <c r="D120" t="s">
        <v>1899</v>
      </c>
      <c r="E120" t="s">
        <v>3126</v>
      </c>
      <c r="F120" t="s">
        <v>3131</v>
      </c>
      <c r="G120" s="2" t="s">
        <v>3250</v>
      </c>
      <c r="H120">
        <v>5.985E-05</v>
      </c>
      <c r="I120">
        <v>5.6E-05</v>
      </c>
      <c r="J120">
        <v>0.00011585</v>
      </c>
    </row>
    <row r="121" spans="1:10">
      <c r="A121">
        <f>HYPERLINK("https://mega.nz/file/DE1hEbIR#Z79gVU_DdSJue5vy5E-iyKDhQthRT-_cvvKToP4qvcI", "Creating Magickal Entities")</f>
        <v>0</v>
      </c>
      <c r="B121" t="s">
        <v>44</v>
      </c>
      <c r="C121" t="s">
        <v>603</v>
      </c>
      <c r="D121" t="s">
        <v>1900</v>
      </c>
      <c r="E121" t="s">
        <v>3117</v>
      </c>
      <c r="F121" t="s">
        <v>3131</v>
      </c>
      <c r="G121" s="2" t="s">
        <v>3251</v>
      </c>
      <c r="H121">
        <v>6.09E-05</v>
      </c>
      <c r="I121">
        <v>4.97E-05</v>
      </c>
      <c r="J121">
        <v>0.0001106</v>
      </c>
    </row>
    <row r="122" spans="1:10">
      <c r="A122">
        <f>HYPERLINK("https://mega.nz/file/uE0yXYpK#INmRDRQS-9jchXs1IsyIoysg-iTcS2qKNvEQeGNFyag", "Creation of Anima-Shakti")</f>
        <v>0</v>
      </c>
      <c r="B122" t="s">
        <v>44</v>
      </c>
      <c r="C122" t="s">
        <v>604</v>
      </c>
      <c r="D122" t="s">
        <v>1901</v>
      </c>
      <c r="E122" t="s">
        <v>3117</v>
      </c>
      <c r="F122" t="s">
        <v>3131</v>
      </c>
      <c r="G122" s="2" t="s">
        <v>3252</v>
      </c>
      <c r="H122">
        <v>6.195E-05</v>
      </c>
      <c r="I122">
        <v>5.67E-05</v>
      </c>
      <c r="J122">
        <v>0.00011865</v>
      </c>
    </row>
    <row r="123" spans="1:10">
      <c r="A123">
        <f>HYPERLINK("https://mega.nz/file/2UFCQZyS#ds1_IjIOehrc7GUraJcIkj3KaGKHZ2kAhUP1XZGkhgM", "Cristianismo Primitivo y Religiones Mistéricas")</f>
        <v>0</v>
      </c>
      <c r="B123" t="s">
        <v>44</v>
      </c>
      <c r="C123" t="s">
        <v>605</v>
      </c>
      <c r="D123" t="s">
        <v>1902</v>
      </c>
      <c r="E123" t="s">
        <v>3117</v>
      </c>
      <c r="F123" t="s">
        <v>3130</v>
      </c>
      <c r="G123" s="2" t="s">
        <v>3253</v>
      </c>
      <c r="H123">
        <v>6.825000000000001E-05</v>
      </c>
      <c r="I123">
        <v>6.86E-05</v>
      </c>
      <c r="J123">
        <v>0.00013685</v>
      </c>
    </row>
    <row r="124" spans="1:10">
      <c r="A124">
        <f>HYPERLINK("https://mega.nz/file/bJNjVbob#Gwcs7DLB2TiFcnO0UMidLZIwWiQ7-4WQVXcc4bfG0gM", "Cronica de CAIN libro de NOD")</f>
        <v>0</v>
      </c>
      <c r="B124" t="s">
        <v>44</v>
      </c>
      <c r="C124" t="s">
        <v>606</v>
      </c>
      <c r="D124" t="s">
        <v>1903</v>
      </c>
      <c r="E124" t="s">
        <v>3117</v>
      </c>
      <c r="F124" t="s">
        <v>3130</v>
      </c>
      <c r="G124" s="2" t="s">
        <v>3254</v>
      </c>
      <c r="H124">
        <v>6.3E-05</v>
      </c>
      <c r="I124">
        <v>6.825000000000001E-05</v>
      </c>
      <c r="J124">
        <v>0.00013125</v>
      </c>
    </row>
    <row r="125" spans="1:10">
      <c r="A125">
        <f>HYPERLINK("https://mega.nz/file/fFUQgaaI#TqmaocfvyJMu2_cufqD90va-ERqzRSlpJHPmIcaQIQc", "Culto Del Dios Mithra")</f>
        <v>0</v>
      </c>
      <c r="B125" t="s">
        <v>44</v>
      </c>
      <c r="C125" t="s">
        <v>607</v>
      </c>
      <c r="D125" t="s">
        <v>1904</v>
      </c>
      <c r="E125" t="s">
        <v>3117</v>
      </c>
      <c r="F125" t="s">
        <v>3130</v>
      </c>
      <c r="G125" s="2" t="s">
        <v>3255</v>
      </c>
      <c r="H125">
        <v>6.23E-05</v>
      </c>
      <c r="I125">
        <v>7.105000000000001E-05</v>
      </c>
      <c r="J125">
        <v>0.00013335</v>
      </c>
    </row>
    <row r="126" spans="1:10">
      <c r="A126">
        <f>HYPERLINK("https://mega.nz/file/TJkSSA7L#Slk-KZIK4XBsdgvdvmzsGoZXwvZCSr3Udl7ojyETZaE", "Cults of Cthulhu")</f>
        <v>0</v>
      </c>
      <c r="B126" t="s">
        <v>44</v>
      </c>
      <c r="C126" t="s">
        <v>608</v>
      </c>
      <c r="D126" t="s">
        <v>1905</v>
      </c>
      <c r="E126" t="s">
        <v>3117</v>
      </c>
      <c r="F126" t="s">
        <v>3131</v>
      </c>
      <c r="G126" s="2" t="s">
        <v>3256</v>
      </c>
      <c r="H126">
        <v>6.615E-05</v>
      </c>
      <c r="I126">
        <v>5.6E-05</v>
      </c>
      <c r="J126">
        <v>0.00012215</v>
      </c>
    </row>
    <row r="127" spans="1:10">
      <c r="A127">
        <f>HYPERLINK("https://mega.nz/file/aQFGDAJK#MGZO0KVFRceZggn9CHhKlje6k4ok2UAEWVIkHwNTbRk", "Cultus Sabbati")</f>
        <v>0</v>
      </c>
      <c r="B127" t="s">
        <v>44</v>
      </c>
      <c r="C127" t="s">
        <v>609</v>
      </c>
      <c r="D127" t="s">
        <v>1906</v>
      </c>
      <c r="E127" t="s">
        <v>3117</v>
      </c>
      <c r="F127" t="s">
        <v>3131</v>
      </c>
      <c r="G127" s="2" t="s">
        <v>3257</v>
      </c>
      <c r="H127">
        <v>5.88E-05</v>
      </c>
      <c r="I127">
        <v>5.075E-05</v>
      </c>
      <c r="J127">
        <v>0.00010955</v>
      </c>
    </row>
    <row r="128" spans="1:10">
      <c r="A128">
        <f>HYPERLINK("https://mega.nz/file/LcsgEZgI#03eZ9Jw7nvz8qzruQPKd6g8dxCbom18JkgUMpCIO_WI", "Curso de Filosofia Oculta")</f>
        <v>0</v>
      </c>
      <c r="B128" t="s">
        <v>44</v>
      </c>
      <c r="C128" t="s">
        <v>610</v>
      </c>
      <c r="D128" t="s">
        <v>1907</v>
      </c>
      <c r="E128" t="s">
        <v>3117</v>
      </c>
      <c r="F128" t="s">
        <v>3130</v>
      </c>
      <c r="G128" s="2" t="s">
        <v>3258</v>
      </c>
      <c r="H128">
        <v>6.195E-05</v>
      </c>
      <c r="I128">
        <v>7.14E-05</v>
      </c>
      <c r="J128">
        <v>0.00013335</v>
      </c>
    </row>
    <row r="129" spans="1:10">
      <c r="A129">
        <f>HYPERLINK("https://mega.nz/file/rV8SjABI#22F8Ib0e5uQKcv2M_fBOcuwP0U7WFLzLcwQDgqGyGGc", "Curso esoterico de Magia Runica")</f>
        <v>0</v>
      </c>
      <c r="B129" t="s">
        <v>44</v>
      </c>
      <c r="C129" t="s">
        <v>611</v>
      </c>
      <c r="D129" t="s">
        <v>1908</v>
      </c>
      <c r="E129" t="s">
        <v>3117</v>
      </c>
      <c r="F129" t="s">
        <v>3130</v>
      </c>
      <c r="G129" s="2" t="s">
        <v>3259</v>
      </c>
      <c r="H129">
        <v>6.405E-05</v>
      </c>
      <c r="I129">
        <v>6.3E-05</v>
      </c>
      <c r="J129">
        <v>0.00012705</v>
      </c>
    </row>
    <row r="130" spans="1:10">
      <c r="A130">
        <f>HYPERLINK("https://mega.nz/file/qcdmQTKa#D064BQmVs__hfYSTJJPCxpWFe_txTxq3pkPg4hI5h6o", "Cycles of Chaos - Deconstructing Initiation")</f>
        <v>0</v>
      </c>
      <c r="B130" t="s">
        <v>44</v>
      </c>
      <c r="C130" t="s">
        <v>612</v>
      </c>
      <c r="D130" t="s">
        <v>1909</v>
      </c>
      <c r="E130" t="s">
        <v>3117</v>
      </c>
      <c r="F130" t="s">
        <v>3131</v>
      </c>
      <c r="G130" s="2" t="s">
        <v>3260</v>
      </c>
      <c r="H130">
        <v>6.439999999999999E-05</v>
      </c>
      <c r="I130">
        <v>5.46E-05</v>
      </c>
      <c r="J130">
        <v>0.000119</v>
      </c>
    </row>
    <row r="131" spans="1:10">
      <c r="A131">
        <f>HYPERLINK("https://mega.nz/file/OUdhhKAS#NCn4ess8hWl2k3h69evY7hGhayo1--HhQh1_Ahc9VcM", "Da Vinci Code")</f>
        <v>0</v>
      </c>
      <c r="B131" t="s">
        <v>44</v>
      </c>
      <c r="C131" t="s">
        <v>613</v>
      </c>
      <c r="D131" t="s">
        <v>1910</v>
      </c>
      <c r="E131" t="s">
        <v>3117</v>
      </c>
      <c r="F131" t="s">
        <v>3131</v>
      </c>
      <c r="G131" s="2" t="s">
        <v>3261</v>
      </c>
      <c r="H131">
        <v>5.775E-05</v>
      </c>
      <c r="I131">
        <v>5.04E-05</v>
      </c>
      <c r="J131">
        <v>0.00010815</v>
      </c>
    </row>
    <row r="132" spans="1:10">
      <c r="A132">
        <f>HYPERLINK("https://mega.nz/file/qZNHHZAI#vLziYyahYPlMhBdjfxgegep-WdyqQizIUmwGLM9l9xQ", "Dagon Rising")</f>
        <v>0</v>
      </c>
      <c r="B132" t="s">
        <v>44</v>
      </c>
      <c r="C132" t="s">
        <v>614</v>
      </c>
      <c r="D132" t="s">
        <v>1911</v>
      </c>
      <c r="E132" t="s">
        <v>3117</v>
      </c>
      <c r="F132" t="s">
        <v>3131</v>
      </c>
      <c r="G132" s="2" t="s">
        <v>3262</v>
      </c>
      <c r="H132">
        <v>5.775E-05</v>
      </c>
      <c r="I132">
        <v>5.25E-05</v>
      </c>
      <c r="J132">
        <v>0.00011025</v>
      </c>
    </row>
    <row r="133" spans="1:10">
      <c r="A133">
        <f>HYPERLINK("https://mega.nz/file/vBFljBZR#lQCAjZGYRc6EsV6-E3jgjTQcCCyy8OH-N5fxtcEJqtw", "Dance of the Witches")</f>
        <v>0</v>
      </c>
      <c r="B133" t="s">
        <v>44</v>
      </c>
      <c r="C133" t="s">
        <v>615</v>
      </c>
      <c r="D133" t="s">
        <v>1912</v>
      </c>
      <c r="E133" t="s">
        <v>3117</v>
      </c>
      <c r="F133" t="s">
        <v>3131</v>
      </c>
      <c r="G133" s="2" t="s">
        <v>3263</v>
      </c>
      <c r="H133">
        <v>5.985E-05</v>
      </c>
      <c r="I133">
        <v>5.18E-05</v>
      </c>
      <c r="J133">
        <v>0.00011165</v>
      </c>
    </row>
    <row r="134" spans="1:10">
      <c r="A134">
        <f>HYPERLINK("https://mega.nz/file/TM8QCIhT#yoBhQ-XYrhIm_VKrLYm-lURx7iNCxE4lVfW0Jhnymx0", "Dark Gods")</f>
        <v>0</v>
      </c>
      <c r="B134" t="s">
        <v>44</v>
      </c>
      <c r="C134" t="s">
        <v>616</v>
      </c>
      <c r="D134" t="s">
        <v>1913</v>
      </c>
      <c r="E134" t="s">
        <v>3117</v>
      </c>
      <c r="F134" t="s">
        <v>3131</v>
      </c>
      <c r="G134" s="2" t="s">
        <v>3264</v>
      </c>
      <c r="H134">
        <v>5.67E-05</v>
      </c>
      <c r="I134">
        <v>4.725E-05</v>
      </c>
      <c r="J134">
        <v>0.00010395</v>
      </c>
    </row>
    <row r="135" spans="1:10">
      <c r="A135">
        <f>HYPERLINK("https://mega.nz/file/HU9llIJD#20os9l6JHw6267LrAYDjc1QSXTWoHvZeXliwdvEGIm4", "Dattatreya")</f>
        <v>0</v>
      </c>
      <c r="B135" t="s">
        <v>44</v>
      </c>
      <c r="C135" t="s">
        <v>617</v>
      </c>
      <c r="D135" t="s">
        <v>1914</v>
      </c>
      <c r="E135" t="s">
        <v>3117</v>
      </c>
      <c r="F135" t="s">
        <v>3131</v>
      </c>
      <c r="G135" s="2" t="s">
        <v>3265</v>
      </c>
      <c r="H135">
        <v>5.88E-05</v>
      </c>
      <c r="I135">
        <v>5.355E-05</v>
      </c>
      <c r="J135">
        <v>0.00011235</v>
      </c>
    </row>
    <row r="136" spans="1:10">
      <c r="A136">
        <f>HYPERLINK("https://mega.nz/file/HV9iVQ6C#-qxF3icyWHasViOdaTaNXMMOBm0rnq4asa-hzeGv-nI", "Dattatreya Rite")</f>
        <v>0</v>
      </c>
      <c r="B136" t="s">
        <v>44</v>
      </c>
      <c r="C136" t="s">
        <v>618</v>
      </c>
      <c r="D136" t="s">
        <v>1915</v>
      </c>
      <c r="E136" t="s">
        <v>3117</v>
      </c>
      <c r="F136" t="s">
        <v>3131</v>
      </c>
      <c r="G136" s="2" t="s">
        <v>3266</v>
      </c>
      <c r="H136">
        <v>5.985E-05</v>
      </c>
      <c r="I136">
        <v>4.76E-05</v>
      </c>
      <c r="J136">
        <v>0.00010745</v>
      </c>
    </row>
    <row r="137" spans="1:10">
      <c r="A137">
        <f>HYPERLINK("https://mega.nz/file/TR0BgTxC#EqolglFDwu_Ua01zK0c56iOUB63kjfHU5P-BEC9sNao", "Deitus")</f>
        <v>0</v>
      </c>
      <c r="B137" t="s">
        <v>44</v>
      </c>
      <c r="C137" t="s">
        <v>619</v>
      </c>
      <c r="D137" t="s">
        <v>1916</v>
      </c>
      <c r="E137" t="s">
        <v>3117</v>
      </c>
      <c r="F137" t="s">
        <v>3131</v>
      </c>
      <c r="G137" s="2" t="s">
        <v>3267</v>
      </c>
      <c r="H137">
        <v>5.67E-05</v>
      </c>
      <c r="I137">
        <v>5.215E-05</v>
      </c>
      <c r="J137">
        <v>0.00010885</v>
      </c>
    </row>
    <row r="138" spans="1:10">
      <c r="A138">
        <f>HYPERLINK("https://mega.nz/file/aR9XnarT#v5JR-jlJPg1ZjkLNQG_yDc6E8edg9HGdBWqzixEdjY4", "Demonic Bible")</f>
        <v>0</v>
      </c>
      <c r="B138" t="s">
        <v>44</v>
      </c>
      <c r="C138" t="s">
        <v>620</v>
      </c>
      <c r="D138" t="s">
        <v>1917</v>
      </c>
      <c r="E138" t="s">
        <v>3117</v>
      </c>
      <c r="F138" t="s">
        <v>3131</v>
      </c>
      <c r="G138" s="2" t="s">
        <v>3268</v>
      </c>
      <c r="H138">
        <v>5.775E-05</v>
      </c>
      <c r="I138">
        <v>4.41E-05</v>
      </c>
      <c r="J138">
        <v>0.00010185</v>
      </c>
    </row>
    <row r="139" spans="1:10">
      <c r="A139">
        <f>HYPERLINK("https://mega.nz/file/TJdADa6B#sShMwjvxxC6r4jA8243MKB39zfnFNgarjvRrcLzDMfM", "Demonios los Dioses del Infierno")</f>
        <v>0</v>
      </c>
      <c r="B139" t="s">
        <v>44</v>
      </c>
      <c r="C139" t="s">
        <v>621</v>
      </c>
      <c r="D139" t="s">
        <v>1918</v>
      </c>
      <c r="E139" t="s">
        <v>3127</v>
      </c>
      <c r="F139" t="s">
        <v>3130</v>
      </c>
      <c r="G139" s="2" t="s">
        <v>3269</v>
      </c>
      <c r="H139">
        <v>6.3E-05</v>
      </c>
      <c r="I139">
        <v>7.105000000000001E-05</v>
      </c>
      <c r="J139">
        <v>0.00013405</v>
      </c>
    </row>
    <row r="140" spans="1:10">
      <c r="A140">
        <f>HYPERLINK("https://mega.nz/file/rNdxCb5J#GGNIG6KVTz5SLxLfQMPl_053W0U1xRwWgl_KE3RGPXM", "Demonolatry Rites")</f>
        <v>0</v>
      </c>
      <c r="B140" t="s">
        <v>44</v>
      </c>
      <c r="C140" t="s">
        <v>622</v>
      </c>
      <c r="D140" t="s">
        <v>1919</v>
      </c>
      <c r="E140" t="s">
        <v>3117</v>
      </c>
      <c r="F140" t="s">
        <v>3131</v>
      </c>
      <c r="G140" s="2" t="s">
        <v>3270</v>
      </c>
      <c r="H140">
        <v>6.02E-05</v>
      </c>
      <c r="I140">
        <v>5.39E-05</v>
      </c>
      <c r="J140">
        <v>0.0001141</v>
      </c>
    </row>
    <row r="141" spans="1:10">
      <c r="A141">
        <f>HYPERLINK("https://mega.nz/file/6IVTXRaJ#b9-vdvLpqDFgo3bzKu_V0ODGtg81UKr6rpIXvuKUQUU", "Demonology Lost Books of the Bible Book of the Secrets")</f>
        <v>0</v>
      </c>
      <c r="B141" t="s">
        <v>44</v>
      </c>
      <c r="C141" t="s">
        <v>623</v>
      </c>
      <c r="D141" t="s">
        <v>1920</v>
      </c>
      <c r="E141" t="s">
        <v>3117</v>
      </c>
      <c r="F141" t="s">
        <v>3131</v>
      </c>
      <c r="G141" s="2" t="s">
        <v>3271</v>
      </c>
      <c r="H141">
        <v>6.999999999999999E-05</v>
      </c>
      <c r="I141">
        <v>5.18E-05</v>
      </c>
      <c r="J141">
        <v>0.0001218</v>
      </c>
    </row>
    <row r="142" spans="1:10">
      <c r="A142">
        <f>HYPERLINK("https://mega.nz/file/mEkn3YqD#LPiAliTYv4wNuO430yhktjGoQI-PHTwVLGTnVu98M8M", "Description")</f>
        <v>0</v>
      </c>
      <c r="B142" t="s">
        <v>44</v>
      </c>
      <c r="C142" t="s">
        <v>624</v>
      </c>
      <c r="D142" t="s">
        <v>1921</v>
      </c>
      <c r="E142" t="s">
        <v>3117</v>
      </c>
      <c r="F142" t="s">
        <v>3131</v>
      </c>
      <c r="G142" s="2" t="s">
        <v>3272</v>
      </c>
      <c r="H142">
        <v>5.565E-05</v>
      </c>
      <c r="I142">
        <v>4.34E-05</v>
      </c>
      <c r="J142">
        <v>9.905E-05</v>
      </c>
    </row>
    <row r="143" spans="1:10">
      <c r="A143">
        <f>HYPERLINK("https://mega.nz/file/uJNGlD5C#z49f1ZxBNtfkI05c1NR7SuSEt5Mw0M4t_qujR3EPTME", "Descubriendo el Misterio del Texto Biblico")</f>
        <v>0</v>
      </c>
      <c r="B143" t="s">
        <v>44</v>
      </c>
      <c r="C143" t="s">
        <v>625</v>
      </c>
      <c r="D143" t="s">
        <v>1922</v>
      </c>
      <c r="E143" t="s">
        <v>3117</v>
      </c>
      <c r="F143" t="s">
        <v>3130</v>
      </c>
      <c r="G143" s="2" t="s">
        <v>3273</v>
      </c>
      <c r="H143">
        <v>6.719999999999999E-05</v>
      </c>
      <c r="I143">
        <v>7.315E-05</v>
      </c>
      <c r="J143">
        <v>0.00014035</v>
      </c>
    </row>
    <row r="144" spans="1:10">
      <c r="A144">
        <f>HYPERLINK("https://mega.nz/file/DVUCCJYI#z6aoQNlK2nSMJGmbuZ1NpdBwTLag1HUtlTlTz9q5nhc", "Develop Your Psychic Abilities")</f>
        <v>0</v>
      </c>
      <c r="B144" t="s">
        <v>44</v>
      </c>
      <c r="C144" t="s">
        <v>626</v>
      </c>
      <c r="D144" t="s">
        <v>1923</v>
      </c>
      <c r="E144" t="s">
        <v>3117</v>
      </c>
      <c r="F144" t="s">
        <v>3131</v>
      </c>
      <c r="G144" s="2" t="s">
        <v>3274</v>
      </c>
      <c r="H144">
        <v>5.88E-05</v>
      </c>
      <c r="I144">
        <v>5.075E-05</v>
      </c>
      <c r="J144">
        <v>0.00010955</v>
      </c>
    </row>
    <row r="145" spans="1:10">
      <c r="A145">
        <f>HYPERLINK("https://mega.nz/file/DclikBgY#eE_DAsW1v_n8pocVIMm0iTbemVEMGlfqQbvjT-GAqGk", "Devotions &amp; Demonesses")</f>
        <v>0</v>
      </c>
      <c r="B145" t="s">
        <v>44</v>
      </c>
      <c r="C145" t="s">
        <v>627</v>
      </c>
      <c r="D145" t="s">
        <v>1924</v>
      </c>
      <c r="E145" t="s">
        <v>3117</v>
      </c>
      <c r="F145" t="s">
        <v>3131</v>
      </c>
      <c r="G145" s="2" t="s">
        <v>3275</v>
      </c>
      <c r="H145">
        <v>5.985E-05</v>
      </c>
      <c r="I145">
        <v>4.55E-05</v>
      </c>
      <c r="J145">
        <v>0.00010535</v>
      </c>
    </row>
    <row r="146" spans="1:10">
      <c r="A146">
        <f>HYPERLINK("https://mega.nz/file/eV8izTRa#XHTuwMH-K_nYiSE_Nz41LuiKlJEYvgyND4hxEqnOjxU", "Diabolicon")</f>
        <v>0</v>
      </c>
      <c r="B146" t="s">
        <v>44</v>
      </c>
      <c r="C146" t="s">
        <v>628</v>
      </c>
      <c r="D146" t="s">
        <v>1925</v>
      </c>
      <c r="E146" t="s">
        <v>3117</v>
      </c>
      <c r="F146" t="s">
        <v>3131</v>
      </c>
      <c r="G146" s="2" t="s">
        <v>3276</v>
      </c>
      <c r="H146">
        <v>5.775E-05</v>
      </c>
      <c r="I146">
        <v>5.18E-05</v>
      </c>
      <c r="J146">
        <v>0.00010955</v>
      </c>
    </row>
    <row r="147" spans="1:10">
      <c r="A147">
        <f>HYPERLINK("https://mega.nz/file/rVFQCbDY#laUjjywD2eCj3YqqcQ85NDRbZvqi1Py2v4WHoSNPpPk", "Diabolus Las Mil Caras Del Diablo a Lo Largo de La Historia")</f>
        <v>0</v>
      </c>
      <c r="B147" t="s">
        <v>44</v>
      </c>
      <c r="C147" t="s">
        <v>629</v>
      </c>
      <c r="D147" t="s">
        <v>1926</v>
      </c>
      <c r="E147" t="s">
        <v>3117</v>
      </c>
      <c r="F147" t="s">
        <v>3130</v>
      </c>
      <c r="G147" s="2" t="s">
        <v>3277</v>
      </c>
      <c r="H147">
        <v>7.035E-05</v>
      </c>
      <c r="I147">
        <v>7.21E-05</v>
      </c>
      <c r="J147">
        <v>0.00014245</v>
      </c>
    </row>
    <row r="148" spans="1:10">
      <c r="A148">
        <f>HYPERLINK("https://mega.nz/file/vEFVFQAb#LkE0iurmopQ7mv8IMfhdt5wojFlZ0XQDKqoCJ2eLBVc", "Diccionario de Religiones, Denominaciones y Sectas")</f>
        <v>0</v>
      </c>
      <c r="B148" t="s">
        <v>44</v>
      </c>
      <c r="C148" t="s">
        <v>630</v>
      </c>
      <c r="D148" t="s">
        <v>1927</v>
      </c>
      <c r="E148" t="s">
        <v>3117</v>
      </c>
      <c r="F148" t="s">
        <v>3130</v>
      </c>
      <c r="G148" s="2" t="s">
        <v>3278</v>
      </c>
      <c r="H148">
        <v>6.719999999999999E-05</v>
      </c>
      <c r="I148">
        <v>7.595E-05</v>
      </c>
      <c r="J148">
        <v>0.00014315</v>
      </c>
    </row>
    <row r="149" spans="1:10">
      <c r="A149">
        <f>HYPERLINK("https://mega.nz/file/HI0hhbLZ#Qs7UKSRabSvTaecixQsTW_Vlrjki6h-4T4lD2pufKws", "Diccionario del diablo")</f>
        <v>0</v>
      </c>
      <c r="B149" t="s">
        <v>44</v>
      </c>
      <c r="C149" t="s">
        <v>631</v>
      </c>
      <c r="D149" t="s">
        <v>1928</v>
      </c>
      <c r="E149" t="s">
        <v>3117</v>
      </c>
      <c r="F149" t="s">
        <v>3130</v>
      </c>
      <c r="G149" s="2" t="s">
        <v>3279</v>
      </c>
      <c r="H149">
        <v>5.985E-05</v>
      </c>
      <c r="I149">
        <v>6.86E-05</v>
      </c>
      <c r="J149">
        <v>0.00012845</v>
      </c>
    </row>
    <row r="150" spans="1:10">
      <c r="A150">
        <f>HYPERLINK("https://mega.nz/file/3F1xjLSa#m_oSFkuokXBeHyvAOubeZcRlqw8jzyQoM-z1ukYRIYM", "Diccionario Infernal")</f>
        <v>0</v>
      </c>
      <c r="B150" t="s">
        <v>44</v>
      </c>
      <c r="C150" t="s">
        <v>632</v>
      </c>
      <c r="D150" t="s">
        <v>1929</v>
      </c>
      <c r="E150" t="s">
        <v>3127</v>
      </c>
      <c r="F150" t="s">
        <v>3131</v>
      </c>
      <c r="G150" s="2" t="s">
        <v>3280</v>
      </c>
      <c r="H150">
        <v>5.88E-05</v>
      </c>
      <c r="I150">
        <v>4.935E-05</v>
      </c>
      <c r="J150">
        <v>0.00010815</v>
      </c>
    </row>
    <row r="151" spans="1:10">
      <c r="A151">
        <f>HYPERLINK("https://mega.nz/file/7RcnQTIJ#y28m6_rex5WOobRXIpKrT5uR-tZ9QCsNg3sk5LweNE8", "Dicionario demonios monstruos y fantasmas")</f>
        <v>0</v>
      </c>
      <c r="B151" t="s">
        <v>44</v>
      </c>
      <c r="C151" t="s">
        <v>633</v>
      </c>
      <c r="D151" t="s">
        <v>1930</v>
      </c>
      <c r="E151" t="s">
        <v>3127</v>
      </c>
      <c r="F151" t="s">
        <v>3130</v>
      </c>
      <c r="G151" s="2" t="s">
        <v>3281</v>
      </c>
      <c r="H151">
        <v>6.51E-05</v>
      </c>
      <c r="I151">
        <v>7.035E-05</v>
      </c>
      <c r="J151">
        <v>0.00013545</v>
      </c>
    </row>
    <row r="152" spans="1:10">
      <c r="A152">
        <f>HYPERLINK("https://mega.nz/file/XElBhIhQ#Wpf2RBW0V1xyyzm0PbFSBvycfcnbOgbWh8Mx67d-Pn4", "Disclosure - Military and Government Witnesses Reveal the Secrets in Modern History")</f>
        <v>0</v>
      </c>
      <c r="B152" t="s">
        <v>44</v>
      </c>
      <c r="C152" t="s">
        <v>634</v>
      </c>
      <c r="D152" t="s">
        <v>1931</v>
      </c>
      <c r="E152" t="s">
        <v>3117</v>
      </c>
      <c r="F152" t="s">
        <v>3131</v>
      </c>
      <c r="G152" s="2" t="s">
        <v>3282</v>
      </c>
      <c r="H152">
        <v>6.719999999999999E-05</v>
      </c>
      <c r="I152">
        <v>4.655E-05</v>
      </c>
      <c r="J152">
        <v>0.00011375</v>
      </c>
    </row>
    <row r="153" spans="1:10">
      <c r="A153">
        <f>HYPERLINK("https://mega.nz/file/jBFF2LKR#RjEZDfYIhLH4xGTW8Zf7qPOF-YXYUvxKaP3mkBZo74A", "Easy Way To Stop Smoking")</f>
        <v>0</v>
      </c>
      <c r="B153" t="s">
        <v>44</v>
      </c>
      <c r="C153" t="s">
        <v>635</v>
      </c>
      <c r="D153" t="s">
        <v>1932</v>
      </c>
      <c r="E153" t="s">
        <v>3117</v>
      </c>
      <c r="F153" t="s">
        <v>3131</v>
      </c>
      <c r="G153" s="2" t="s">
        <v>3283</v>
      </c>
      <c r="H153">
        <v>5.985E-05</v>
      </c>
      <c r="I153">
        <v>5.88E-05</v>
      </c>
      <c r="J153">
        <v>0.00011865</v>
      </c>
    </row>
    <row r="154" spans="1:10">
      <c r="A154">
        <f>HYPERLINK("https://mega.nz/file/qIEEyTSA#WKxUXaKN8AGm77LyfaX3XklksouIf8YopYD8fc-tMiE", "Egyptian Medicine")</f>
        <v>0</v>
      </c>
      <c r="B154" t="s">
        <v>44</v>
      </c>
      <c r="C154" t="s">
        <v>636</v>
      </c>
      <c r="D154" t="s">
        <v>1933</v>
      </c>
      <c r="E154" t="s">
        <v>3128</v>
      </c>
      <c r="F154" t="s">
        <v>3131</v>
      </c>
      <c r="G154" s="2" t="s">
        <v>3284</v>
      </c>
      <c r="H154">
        <v>5.705E-05</v>
      </c>
      <c r="I154">
        <v>5.145E-05</v>
      </c>
      <c r="J154">
        <v>0.0001085</v>
      </c>
    </row>
    <row r="155" spans="1:10">
      <c r="A155">
        <f>HYPERLINK("https://mega.nz/file/WJFiGDRL#FoNTJHghjt921skpBbCPdIJ6EuVyh5IIV6BWr9ct_sM", "El 12 Planeta Ilustrado")</f>
        <v>0</v>
      </c>
      <c r="B155" t="s">
        <v>44</v>
      </c>
      <c r="C155" t="s">
        <v>637</v>
      </c>
      <c r="D155" t="s">
        <v>1934</v>
      </c>
      <c r="E155" t="s">
        <v>3117</v>
      </c>
      <c r="F155" t="s">
        <v>3130</v>
      </c>
      <c r="G155" s="2" t="s">
        <v>3285</v>
      </c>
      <c r="H155">
        <v>6.265E-05</v>
      </c>
      <c r="I155">
        <v>6.965E-05</v>
      </c>
      <c r="J155">
        <v>0.0001323</v>
      </c>
    </row>
    <row r="156" spans="1:10">
      <c r="A156">
        <f>HYPERLINK("https://mega.nz/file/DBFkVRiK#Jm58eb0SamQwuGQaXQAA_enpIlLryAFnH9BGoFa2B34", "El arte completo de la brujeria")</f>
        <v>0</v>
      </c>
      <c r="B156" t="s">
        <v>44</v>
      </c>
      <c r="C156" t="s">
        <v>638</v>
      </c>
      <c r="D156" t="s">
        <v>1935</v>
      </c>
      <c r="E156" t="s">
        <v>3117</v>
      </c>
      <c r="F156" t="s">
        <v>3130</v>
      </c>
      <c r="G156" s="2" t="s">
        <v>3286</v>
      </c>
      <c r="H156">
        <v>6.3E-05</v>
      </c>
      <c r="I156">
        <v>6.265E-05</v>
      </c>
      <c r="J156">
        <v>0.00012565</v>
      </c>
    </row>
    <row r="157" spans="1:10">
      <c r="A157">
        <f>HYPERLINK("https://mega.nz/file/6JEFyYpB#61mvEUviyix3jnZ1nbxXEUWtWn6eN2lL12mzlZ0qZvE", "El Arte de la Evocacion Magica")</f>
        <v>0</v>
      </c>
      <c r="B157" t="s">
        <v>44</v>
      </c>
      <c r="C157" t="s">
        <v>639</v>
      </c>
      <c r="D157" t="s">
        <v>1936</v>
      </c>
      <c r="E157" t="s">
        <v>3117</v>
      </c>
      <c r="F157" t="s">
        <v>3130</v>
      </c>
      <c r="G157" s="2" t="s">
        <v>3287</v>
      </c>
      <c r="H157">
        <v>6.405E-05</v>
      </c>
      <c r="I157">
        <v>6.719999999999999E-05</v>
      </c>
      <c r="J157">
        <v>0.00013125</v>
      </c>
    </row>
    <row r="158" spans="1:10">
      <c r="A158">
        <f>HYPERLINK("https://mega.nz/file/7V0GnZhT#9oiS8OMBE2wBxwNJVYXC7YmgfOyNsGQFo4LLkPO4ewc", "El camino de la Bruja Verde")</f>
        <v>0</v>
      </c>
      <c r="B158" t="s">
        <v>44</v>
      </c>
      <c r="C158" t="s">
        <v>640</v>
      </c>
      <c r="D158" t="s">
        <v>1937</v>
      </c>
      <c r="E158" t="s">
        <v>3123</v>
      </c>
      <c r="F158" t="s">
        <v>3130</v>
      </c>
      <c r="G158" s="2" t="s">
        <v>3288</v>
      </c>
      <c r="H158">
        <v>6.195E-05</v>
      </c>
      <c r="I158">
        <v>7.07E-05</v>
      </c>
      <c r="J158">
        <v>0.00013265</v>
      </c>
    </row>
    <row r="159" spans="1:10">
      <c r="A159">
        <f>HYPERLINK("https://mega.nz/file/CBMEELpC#tC5R1GPFGGBMC_VTkj_J1kQGXcZMwmViMXvons_BMGU", "el claustro de silos")</f>
        <v>0</v>
      </c>
      <c r="B159" t="s">
        <v>44</v>
      </c>
      <c r="C159" t="s">
        <v>641</v>
      </c>
      <c r="D159" t="s">
        <v>1938</v>
      </c>
      <c r="E159" t="s">
        <v>3117</v>
      </c>
      <c r="F159" t="s">
        <v>3130</v>
      </c>
      <c r="G159" s="2" t="s">
        <v>3289</v>
      </c>
      <c r="H159">
        <v>5.985E-05</v>
      </c>
      <c r="I159">
        <v>6.37E-05</v>
      </c>
      <c r="J159">
        <v>0.00012355</v>
      </c>
    </row>
    <row r="160" spans="1:10">
      <c r="A160">
        <f>HYPERLINK("https://mega.nz/file/GBVCFJKZ#MItOTZup-r-2RiByoQ4ZI8jYCy1Rh54N-3MLvUt7d3E", "El Codigo Real")</f>
        <v>0</v>
      </c>
      <c r="B160" t="s">
        <v>44</v>
      </c>
      <c r="C160" t="s">
        <v>642</v>
      </c>
      <c r="D160" t="s">
        <v>1939</v>
      </c>
      <c r="E160" t="s">
        <v>3117</v>
      </c>
      <c r="F160" t="s">
        <v>3130</v>
      </c>
      <c r="G160" s="2" t="s">
        <v>3290</v>
      </c>
      <c r="H160">
        <v>5.915E-05</v>
      </c>
      <c r="I160">
        <v>6.895E-05</v>
      </c>
      <c r="J160">
        <v>0.0001281</v>
      </c>
    </row>
    <row r="161" spans="1:10">
      <c r="A161">
        <f>HYPERLINK("https://mega.nz/file/vAE30AgR#-Kj-GMvLhEF4xzFcgWF3rIyFr9hD0ly2old92--3RDk", "El Cordon Dorado")</f>
        <v>0</v>
      </c>
      <c r="B161" t="s">
        <v>44</v>
      </c>
      <c r="C161" t="s">
        <v>643</v>
      </c>
      <c r="D161" t="s">
        <v>1940</v>
      </c>
      <c r="E161" t="s">
        <v>3117</v>
      </c>
      <c r="F161" t="s">
        <v>3130</v>
      </c>
      <c r="G161" s="2" t="s">
        <v>3291</v>
      </c>
      <c r="H161">
        <v>5.985E-05</v>
      </c>
      <c r="I161">
        <v>6.615E-05</v>
      </c>
      <c r="J161">
        <v>0.000126</v>
      </c>
    </row>
    <row r="162" spans="1:10">
      <c r="A162">
        <f>HYPERLINK("https://mega.nz/file/WMVkWIzK#B8F6-J-qpmMWSYvwcRqvyxtOljq3K4mjRHwjRRZyGN4", "El Cristianismo Antiguo")</f>
        <v>0</v>
      </c>
      <c r="B162" t="s">
        <v>44</v>
      </c>
      <c r="C162" t="s">
        <v>644</v>
      </c>
      <c r="D162" t="s">
        <v>1941</v>
      </c>
      <c r="E162" t="s">
        <v>3117</v>
      </c>
      <c r="F162" t="s">
        <v>3130</v>
      </c>
      <c r="G162" s="2" t="s">
        <v>3292</v>
      </c>
      <c r="H162">
        <v>6.09E-05</v>
      </c>
      <c r="I162">
        <v>6.999999999999999E-05</v>
      </c>
      <c r="J162">
        <v>0.0001309</v>
      </c>
    </row>
    <row r="163" spans="1:10">
      <c r="A163">
        <f>HYPERLINK("https://mega.nz/file/SRswRSYR#jz7mSSzFblKtKw_zA5jyFoyjehu9P5qUq-QAVDwyqo8", "El Culto a Los Santos Devocion Vida Arte y Cofradias")</f>
        <v>0</v>
      </c>
      <c r="B163" t="s">
        <v>44</v>
      </c>
      <c r="C163" t="s">
        <v>645</v>
      </c>
      <c r="D163" t="s">
        <v>1942</v>
      </c>
      <c r="E163" t="s">
        <v>3117</v>
      </c>
      <c r="F163" t="s">
        <v>3130</v>
      </c>
      <c r="G163" s="2" t="s">
        <v>3293</v>
      </c>
      <c r="H163">
        <v>7.525E-05</v>
      </c>
      <c r="I163">
        <v>6.755E-05</v>
      </c>
      <c r="J163">
        <v>0.0001428</v>
      </c>
    </row>
    <row r="164" spans="1:10">
      <c r="A164">
        <f>HYPERLINK("https://mega.nz/file/rckCwDCA#ASmBos6B8-NBO0VECQ-B5S3yg5Yyz_9rQ7F6uvjOHTE", "El Dios de los Brujos")</f>
        <v>0</v>
      </c>
      <c r="B164" t="s">
        <v>44</v>
      </c>
      <c r="C164" t="s">
        <v>646</v>
      </c>
      <c r="D164" t="s">
        <v>1943</v>
      </c>
      <c r="E164" t="s">
        <v>3117</v>
      </c>
      <c r="F164" t="s">
        <v>3130</v>
      </c>
      <c r="G164" s="2" t="s">
        <v>3294</v>
      </c>
      <c r="H164">
        <v>6.09E-05</v>
      </c>
      <c r="I164">
        <v>7.175E-05</v>
      </c>
      <c r="J164">
        <v>0.00013265</v>
      </c>
    </row>
    <row r="165" spans="1:10">
      <c r="A165">
        <f>HYPERLINK("https://mega.nz/file/jYd2WIyL#k3Jkl-KUE-tLAwJeZySqd8jiuhhELNBUiSYqC28xbRY", "El Enchiridion")</f>
        <v>0</v>
      </c>
      <c r="B165" t="s">
        <v>44</v>
      </c>
      <c r="C165" t="s">
        <v>647</v>
      </c>
      <c r="D165" t="s">
        <v>1944</v>
      </c>
      <c r="E165" t="s">
        <v>3117</v>
      </c>
      <c r="F165" t="s">
        <v>3130</v>
      </c>
      <c r="G165" s="2" t="s">
        <v>3295</v>
      </c>
      <c r="H165">
        <v>5.985E-05</v>
      </c>
      <c r="I165">
        <v>7.07E-05</v>
      </c>
      <c r="J165">
        <v>0.00013055</v>
      </c>
    </row>
    <row r="166" spans="1:10">
      <c r="A166">
        <f>HYPERLINK("https://mega.nz/file/yc9BgYYa#6kHK1Geu06jMbyT7-r4tvKNIoFKyUqqHSzbuvDobYm0", "El Enigma de La Trinidad")</f>
        <v>0</v>
      </c>
      <c r="B166" t="s">
        <v>44</v>
      </c>
      <c r="C166" t="s">
        <v>648</v>
      </c>
      <c r="D166" t="s">
        <v>1945</v>
      </c>
      <c r="E166" t="s">
        <v>3117</v>
      </c>
      <c r="F166" t="s">
        <v>3130</v>
      </c>
      <c r="G166" s="2" t="s">
        <v>3296</v>
      </c>
      <c r="H166">
        <v>6.265E-05</v>
      </c>
      <c r="I166">
        <v>7.105000000000001E-05</v>
      </c>
      <c r="J166">
        <v>0.0001337</v>
      </c>
    </row>
    <row r="167" spans="1:10">
      <c r="A167">
        <f>HYPERLINK("https://mega.nz/file/LM9CXTab#_r0J85XTaOFAaerer2Edv2qtRokLN3Tl5MWUflHC2l4", "El Evangelio De Judas")</f>
        <v>0</v>
      </c>
      <c r="B167" t="s">
        <v>44</v>
      </c>
      <c r="C167" t="s">
        <v>649</v>
      </c>
      <c r="D167" t="s">
        <v>1946</v>
      </c>
      <c r="E167" t="s">
        <v>3117</v>
      </c>
      <c r="F167" t="s">
        <v>3130</v>
      </c>
      <c r="G167" s="2" t="s">
        <v>3297</v>
      </c>
      <c r="H167">
        <v>6.545000000000001E-05</v>
      </c>
      <c r="I167">
        <v>7.839999999999999E-05</v>
      </c>
      <c r="J167">
        <v>0.00014385</v>
      </c>
    </row>
    <row r="168" spans="1:10">
      <c r="A168">
        <f>HYPERLINK("https://mega.nz/file/fAFHnJiA#p6xqg7Rx1SvnDG9tVsCSJFW0KeZjJ9uwryUpo9dW_LQ", "El evangelio del Tibet")</f>
        <v>0</v>
      </c>
      <c r="B168" t="s">
        <v>44</v>
      </c>
      <c r="C168" t="s">
        <v>650</v>
      </c>
      <c r="D168" t="s">
        <v>1947</v>
      </c>
      <c r="E168" t="s">
        <v>3117</v>
      </c>
      <c r="F168" t="s">
        <v>3130</v>
      </c>
      <c r="G168" s="2" t="s">
        <v>3298</v>
      </c>
      <c r="H168">
        <v>6.160000000000001E-05</v>
      </c>
      <c r="I168">
        <v>7.35E-05</v>
      </c>
      <c r="J168">
        <v>0.0001351</v>
      </c>
    </row>
    <row r="169" spans="1:10">
      <c r="A169">
        <f>HYPERLINK("https://mega.nz/file/iU1FmDKR#mGTvtM_hgW7VYiNNrBytBmc1hYBfpVFckM2q5DvZtuQ", "El Gran Grimorio")</f>
        <v>0</v>
      </c>
      <c r="B169" t="s">
        <v>44</v>
      </c>
      <c r="C169" t="s">
        <v>651</v>
      </c>
      <c r="D169" t="s">
        <v>1948</v>
      </c>
      <c r="E169" t="s">
        <v>3117</v>
      </c>
      <c r="F169" t="s">
        <v>3130</v>
      </c>
      <c r="G169" s="2" t="s">
        <v>3299</v>
      </c>
      <c r="H169">
        <v>5.88E-05</v>
      </c>
      <c r="I169">
        <v>6.615E-05</v>
      </c>
      <c r="J169">
        <v>0.00012495</v>
      </c>
    </row>
    <row r="170" spans="1:10">
      <c r="A170">
        <f>HYPERLINK("https://mega.nz/file/ad1EwKQS#1_uXxM8cJqkatM92g1Udk8vSFrVlVQntrhSxQ_8zGrA", "El Gran Grimorio o Dragon Rojo")</f>
        <v>0</v>
      </c>
      <c r="B170" t="s">
        <v>44</v>
      </c>
      <c r="C170" t="s">
        <v>652</v>
      </c>
      <c r="D170" t="s">
        <v>1949</v>
      </c>
      <c r="E170" t="s">
        <v>3117</v>
      </c>
      <c r="F170" t="s">
        <v>3130</v>
      </c>
      <c r="G170" s="2" t="s">
        <v>3300</v>
      </c>
      <c r="H170">
        <v>6.195E-05</v>
      </c>
      <c r="I170">
        <v>7.42E-05</v>
      </c>
      <c r="J170">
        <v>0.00013615</v>
      </c>
    </row>
    <row r="171" spans="1:10">
      <c r="A171">
        <f>HYPERLINK("https://mega.nz/file/aUE1SLoY#Ma-fNfheJikUKRlnQ6bbY1CJegJ_DAdz98s4wRvZ6iw", "El gran libro de los rituales magicos")</f>
        <v>0</v>
      </c>
      <c r="B171" t="s">
        <v>44</v>
      </c>
      <c r="C171" t="s">
        <v>653</v>
      </c>
      <c r="D171" t="s">
        <v>1950</v>
      </c>
      <c r="E171" t="s">
        <v>3117</v>
      </c>
      <c r="F171" t="s">
        <v>3130</v>
      </c>
      <c r="G171" s="2" t="s">
        <v>3301</v>
      </c>
      <c r="H171">
        <v>6.405E-05</v>
      </c>
      <c r="I171">
        <v>6.65E-05</v>
      </c>
      <c r="J171">
        <v>0.00013055</v>
      </c>
    </row>
    <row r="172" spans="1:10">
      <c r="A172">
        <f>HYPERLINK("https://mega.nz/file/Wd1iwDpB#hlgySsIGTZYhYP2WLDK3JuXH8p5Vyg275OsEQoxHTZQ", "El Grimorio de Armadel")</f>
        <v>0</v>
      </c>
      <c r="B172" t="s">
        <v>44</v>
      </c>
      <c r="C172" t="s">
        <v>654</v>
      </c>
      <c r="D172" t="s">
        <v>1951</v>
      </c>
      <c r="E172" t="s">
        <v>3117</v>
      </c>
      <c r="F172" t="s">
        <v>3130</v>
      </c>
      <c r="G172" s="2" t="s">
        <v>3302</v>
      </c>
      <c r="H172">
        <v>6.09E-05</v>
      </c>
      <c r="I172">
        <v>6.965E-05</v>
      </c>
      <c r="J172">
        <v>0.00013055</v>
      </c>
    </row>
    <row r="173" spans="1:10">
      <c r="A173">
        <f>HYPERLINK("https://mega.nz/file/iBMERTKb#WonHy4eUqa9IjoYC3t9nWlV7I59yYbweDZFDXFD4wms", "El Grimorio de las Reencarnaciones")</f>
        <v>0</v>
      </c>
      <c r="B173" t="s">
        <v>44</v>
      </c>
      <c r="C173" t="s">
        <v>655</v>
      </c>
      <c r="D173" t="s">
        <v>1952</v>
      </c>
      <c r="E173" t="s">
        <v>3117</v>
      </c>
      <c r="F173" t="s">
        <v>3130</v>
      </c>
      <c r="G173" s="2" t="s">
        <v>3303</v>
      </c>
      <c r="H173">
        <v>6.545000000000001E-05</v>
      </c>
      <c r="I173">
        <v>6.65E-05</v>
      </c>
      <c r="J173">
        <v>0.00013195</v>
      </c>
    </row>
    <row r="174" spans="1:10">
      <c r="A174">
        <f>HYPERLINK("https://mega.nz/file/DNtmjSbQ#sLoUNWForGyTnPn8_fCbszq1e3_KKhVlFlwvxb3ufCw", "El Grimorio del Castillo de Dampierre")</f>
        <v>0</v>
      </c>
      <c r="B174" t="s">
        <v>44</v>
      </c>
      <c r="C174" t="s">
        <v>656</v>
      </c>
      <c r="D174" t="s">
        <v>1953</v>
      </c>
      <c r="E174" t="s">
        <v>3117</v>
      </c>
      <c r="F174" t="s">
        <v>3130</v>
      </c>
      <c r="G174" s="2" t="s">
        <v>3304</v>
      </c>
      <c r="H174">
        <v>6.3E-05</v>
      </c>
      <c r="I174">
        <v>7.175E-05</v>
      </c>
      <c r="J174">
        <v>0.00013475</v>
      </c>
    </row>
    <row r="175" spans="1:10">
      <c r="A175">
        <f>HYPERLINK("https://mega.nz/file/aNUHzDpb#SMt652D8MkvZLGJwouvc-gawF0uHC3Ca9VmQp4nqVBc", "El Grimorio Golden Dawn Ceremonial Magico y Rituales")</f>
        <v>0</v>
      </c>
      <c r="B175" t="s">
        <v>44</v>
      </c>
      <c r="C175" t="s">
        <v>657</v>
      </c>
      <c r="D175" t="s">
        <v>1954</v>
      </c>
      <c r="E175" t="s">
        <v>3117</v>
      </c>
      <c r="F175" t="s">
        <v>3130</v>
      </c>
      <c r="G175" s="2" t="s">
        <v>3305</v>
      </c>
      <c r="H175">
        <v>6.719999999999999E-05</v>
      </c>
      <c r="I175">
        <v>6.895E-05</v>
      </c>
      <c r="J175">
        <v>0.00013615</v>
      </c>
    </row>
    <row r="176" spans="1:10">
      <c r="A176">
        <f>HYPERLINK("https://mega.nz/file/jVtwkRxK#jUre0-R6rFgJazYxYPRIyUj5t-ojn9qvoSYj2iW2GnI", "El grimorio perdido")</f>
        <v>0</v>
      </c>
      <c r="B176" t="s">
        <v>44</v>
      </c>
      <c r="C176" t="s">
        <v>658</v>
      </c>
      <c r="D176" t="s">
        <v>1955</v>
      </c>
      <c r="E176" t="s">
        <v>3117</v>
      </c>
      <c r="F176" t="s">
        <v>3130</v>
      </c>
      <c r="G176" s="2" t="s">
        <v>3306</v>
      </c>
      <c r="H176">
        <v>5.88E-05</v>
      </c>
      <c r="I176">
        <v>6.755E-05</v>
      </c>
      <c r="J176">
        <v>0.00012635</v>
      </c>
    </row>
    <row r="177" spans="1:10">
      <c r="A177">
        <f>HYPERLINK("https://mega.nz/file/fEcTjQQK#5Tmf3K4JdbyH-sG5qHzbObeVhHu213133aMCMjgFTxM", "El Heptameron")</f>
        <v>0</v>
      </c>
      <c r="B177" t="s">
        <v>44</v>
      </c>
      <c r="C177" t="s">
        <v>659</v>
      </c>
      <c r="D177" t="s">
        <v>1956</v>
      </c>
      <c r="E177" t="s">
        <v>3117</v>
      </c>
      <c r="F177" t="s">
        <v>3130</v>
      </c>
      <c r="G177" s="2" t="s">
        <v>3307</v>
      </c>
      <c r="H177">
        <v>5.845E-05</v>
      </c>
      <c r="I177">
        <v>7.245E-05</v>
      </c>
      <c r="J177">
        <v>0.0001309</v>
      </c>
    </row>
    <row r="178" spans="1:10">
      <c r="A178">
        <f>HYPERLINK("https://mega.nz/file/PFM1gApK#I3m3I8coevpnmx-t2imXfO7KKmYdkVRFoD9O4wCdi30", "El Infernicon")</f>
        <v>0</v>
      </c>
      <c r="B178" t="s">
        <v>44</v>
      </c>
      <c r="C178" t="s">
        <v>660</v>
      </c>
      <c r="D178" t="s">
        <v>1957</v>
      </c>
      <c r="E178" t="s">
        <v>3117</v>
      </c>
      <c r="F178" t="s">
        <v>3130</v>
      </c>
      <c r="G178" s="2" t="s">
        <v>3308</v>
      </c>
      <c r="H178">
        <v>5.88E-05</v>
      </c>
      <c r="I178">
        <v>6.755E-05</v>
      </c>
      <c r="J178">
        <v>0.00012635</v>
      </c>
    </row>
    <row r="179" spans="1:10">
      <c r="A179">
        <f>HYPERLINK("https://mega.nz/file/CRljySCK#zfEgJa-f2squ1WLsc7oYC4dxal4HVRgkaYLumH_3xBY", "El Iniciado En El Nuevo Mundo")</f>
        <v>0</v>
      </c>
      <c r="B179" t="s">
        <v>44</v>
      </c>
      <c r="C179" t="s">
        <v>661</v>
      </c>
      <c r="D179" t="s">
        <v>1958</v>
      </c>
      <c r="E179" t="s">
        <v>3117</v>
      </c>
      <c r="F179" t="s">
        <v>3130</v>
      </c>
      <c r="G179" s="2" t="s">
        <v>3309</v>
      </c>
      <c r="H179">
        <v>6.405E-05</v>
      </c>
      <c r="I179">
        <v>7.279999999999999E-05</v>
      </c>
      <c r="J179">
        <v>0.00013685</v>
      </c>
    </row>
    <row r="180" spans="1:10">
      <c r="A180">
        <f>HYPERLINK("https://mega.nz/file/bFsRQBqK#OB5aTGEefbI0HjhAbZg6oMnuzsZ4T1opZpO5AC8twNs", "El Juego Aureo")</f>
        <v>0</v>
      </c>
      <c r="B180" t="s">
        <v>44</v>
      </c>
      <c r="C180" t="s">
        <v>662</v>
      </c>
      <c r="D180" t="s">
        <v>1959</v>
      </c>
      <c r="E180" t="s">
        <v>3117</v>
      </c>
      <c r="F180" t="s">
        <v>3130</v>
      </c>
      <c r="G180" s="2" t="s">
        <v>3310</v>
      </c>
      <c r="H180">
        <v>6.02E-05</v>
      </c>
      <c r="I180">
        <v>7.525E-05</v>
      </c>
      <c r="J180">
        <v>0.00013545</v>
      </c>
    </row>
    <row r="181" spans="1:10">
      <c r="A181">
        <f>HYPERLINK("https://mega.nz/file/GZVhnbAL#3DtihheGJHeZnqyeOjS371ATYCM8SpN2I2UQMyICa_s", "El Lemegeton")</f>
        <v>0</v>
      </c>
      <c r="B181" t="s">
        <v>44</v>
      </c>
      <c r="C181" t="s">
        <v>663</v>
      </c>
      <c r="D181" t="s">
        <v>1960</v>
      </c>
      <c r="E181" t="s">
        <v>3117</v>
      </c>
      <c r="F181" t="s">
        <v>3130</v>
      </c>
      <c r="G181" s="2" t="s">
        <v>3311</v>
      </c>
      <c r="H181">
        <v>5.985E-05</v>
      </c>
      <c r="I181">
        <v>7.42E-05</v>
      </c>
      <c r="J181">
        <v>0.00013405</v>
      </c>
    </row>
    <row r="182" spans="1:10">
      <c r="A182">
        <f>HYPERLINK("https://mega.nz/file/HEtxWTKR#rar6e0lV6uf5afXg-gIw6R3hypLMi_yzTPEU-LNv8M0", "El libro completo de la brujería")</f>
        <v>0</v>
      </c>
      <c r="B182" t="s">
        <v>44</v>
      </c>
      <c r="C182" t="s">
        <v>664</v>
      </c>
      <c r="D182" t="s">
        <v>1961</v>
      </c>
      <c r="E182" t="s">
        <v>3117</v>
      </c>
      <c r="F182" t="s">
        <v>3130</v>
      </c>
      <c r="G182" s="2" t="s">
        <v>3312</v>
      </c>
      <c r="H182">
        <v>6.23E-05</v>
      </c>
      <c r="I182">
        <v>6.65E-05</v>
      </c>
      <c r="J182">
        <v>0.0001288</v>
      </c>
    </row>
    <row r="183" spans="1:10">
      <c r="A183">
        <f>HYPERLINK("https://mega.nz/file/aVdVkRob#meqqd-5xn3ceiJDR0la50MGxZz7DSxTcLz79abL-JQk", "El libro de la magia divina")</f>
        <v>0</v>
      </c>
      <c r="B183" t="s">
        <v>44</v>
      </c>
      <c r="C183" t="s">
        <v>665</v>
      </c>
      <c r="D183" t="s">
        <v>1962</v>
      </c>
      <c r="E183" t="s">
        <v>3117</v>
      </c>
      <c r="F183" t="s">
        <v>3130</v>
      </c>
      <c r="G183" s="2" t="s">
        <v>3313</v>
      </c>
      <c r="H183">
        <v>6.09E-05</v>
      </c>
      <c r="I183">
        <v>6.965E-05</v>
      </c>
      <c r="J183">
        <v>0.00013055</v>
      </c>
    </row>
    <row r="184" spans="1:10">
      <c r="A184">
        <f>HYPERLINK("https://mega.nz/file/LBkgBIDA#zJZAsWAVDkb51DS7yD-3j95cSgeVbblV64GOYtNEDYs", "El libro de la magia roja, negra e infernal de los caldeos y de los egipcios")</f>
        <v>0</v>
      </c>
      <c r="B184" t="s">
        <v>44</v>
      </c>
      <c r="C184" t="s">
        <v>666</v>
      </c>
      <c r="D184" t="s">
        <v>1963</v>
      </c>
      <c r="E184" t="s">
        <v>3127</v>
      </c>
      <c r="F184" t="s">
        <v>3130</v>
      </c>
      <c r="G184" s="2" t="s">
        <v>3314</v>
      </c>
      <c r="H184">
        <v>7.595E-05</v>
      </c>
      <c r="I184">
        <v>6.825000000000001E-05</v>
      </c>
      <c r="J184">
        <v>0.0001442</v>
      </c>
    </row>
    <row r="185" spans="1:10">
      <c r="A185">
        <f>HYPERLINK("https://mega.nz/file/3VshTKLZ#E8lry3gko-MGXouM2VIX44iVDYx2LRk6WLC1CVJf2bg", "El Libro de las Sombras")</f>
        <v>0</v>
      </c>
      <c r="B185" t="s">
        <v>44</v>
      </c>
      <c r="C185" t="s">
        <v>667</v>
      </c>
      <c r="D185" t="s">
        <v>1964</v>
      </c>
      <c r="E185" t="s">
        <v>3117</v>
      </c>
      <c r="F185" t="s">
        <v>3130</v>
      </c>
      <c r="G185" s="2" t="s">
        <v>3315</v>
      </c>
      <c r="H185">
        <v>6.125E-05</v>
      </c>
      <c r="I185">
        <v>6.685E-05</v>
      </c>
      <c r="J185">
        <v>0.0001281</v>
      </c>
    </row>
    <row r="186" spans="1:10">
      <c r="A186">
        <f>HYPERLINK("https://mega.nz/file/GV8n3LrB#d6sg0kg0XVrMgSJ-few5FhfFGQR8lZDO8G7YifMROgQ", "El Libro de las Sombras")</f>
        <v>0</v>
      </c>
      <c r="B186" t="s">
        <v>44</v>
      </c>
      <c r="C186" t="s">
        <v>667</v>
      </c>
      <c r="D186" t="s">
        <v>1965</v>
      </c>
      <c r="E186" t="s">
        <v>3117</v>
      </c>
      <c r="F186" t="s">
        <v>3130</v>
      </c>
      <c r="G186" s="2" t="s">
        <v>3316</v>
      </c>
      <c r="H186">
        <v>6.23E-05</v>
      </c>
      <c r="I186">
        <v>7.105000000000001E-05</v>
      </c>
      <c r="J186">
        <v>0.00013335</v>
      </c>
    </row>
    <row r="187" spans="1:10">
      <c r="A187">
        <f>HYPERLINK("https://mega.nz/file/uNcXzbSJ#5mmQY-iwKWNZ8568IR7TIGTaAbmL0qVd9m_IhKkUKOw", "El Libro de Moises El Arte Espiritual Magico")</f>
        <v>0</v>
      </c>
      <c r="B187" t="s">
        <v>44</v>
      </c>
      <c r="C187" t="s">
        <v>668</v>
      </c>
      <c r="D187" t="s">
        <v>1966</v>
      </c>
      <c r="E187" t="s">
        <v>3117</v>
      </c>
      <c r="F187" t="s">
        <v>3130</v>
      </c>
      <c r="G187" s="2" t="s">
        <v>3317</v>
      </c>
      <c r="H187">
        <v>6.615E-05</v>
      </c>
      <c r="I187">
        <v>7.14E-05</v>
      </c>
      <c r="J187">
        <v>0.00013755</v>
      </c>
    </row>
    <row r="188" spans="1:10">
      <c r="A188">
        <f>HYPERLINK("https://mega.nz/file/nd9U0ZLJ#5VtuuKoMuQgpsF-m4-dR15aCVtRYLxZ6UulKZwNa_CM", "El Libro de San Cipriano")</f>
        <v>0</v>
      </c>
      <c r="B188" t="s">
        <v>44</v>
      </c>
      <c r="C188" t="s">
        <v>669</v>
      </c>
      <c r="D188" t="s">
        <v>1967</v>
      </c>
      <c r="E188" t="s">
        <v>3117</v>
      </c>
      <c r="F188" t="s">
        <v>3130</v>
      </c>
      <c r="G188" s="2" t="s">
        <v>3318</v>
      </c>
      <c r="H188">
        <v>6.195E-05</v>
      </c>
      <c r="I188">
        <v>7.42E-05</v>
      </c>
      <c r="J188">
        <v>0.00013615</v>
      </c>
    </row>
    <row r="189" spans="1:10">
      <c r="A189">
        <f>HYPERLINK("https://mega.nz/file/OQMBjZZC#acVDBjLwNUZ20S49RJ919lpZxsnAtySvFkgFI3gGbgY", "El libro del Ki")</f>
        <v>0</v>
      </c>
      <c r="B189" t="s">
        <v>44</v>
      </c>
      <c r="C189" t="s">
        <v>670</v>
      </c>
      <c r="D189" t="s">
        <v>1968</v>
      </c>
      <c r="E189" t="s">
        <v>3117</v>
      </c>
      <c r="F189" t="s">
        <v>3130</v>
      </c>
      <c r="G189" s="2" t="s">
        <v>3319</v>
      </c>
      <c r="H189">
        <v>5.985E-05</v>
      </c>
      <c r="I189">
        <v>7.595E-05</v>
      </c>
      <c r="J189">
        <v>0.0001358</v>
      </c>
    </row>
    <row r="190" spans="1:10">
      <c r="A190">
        <f>HYPERLINK("https://mega.nz/file/bM0xxCRB#BvcGz8SzWl16Vm2e-WHGvM0p6dzkOR3-CE16gf1GDO0", "El libro egipcio de los muertos")</f>
        <v>0</v>
      </c>
      <c r="B190" t="s">
        <v>44</v>
      </c>
      <c r="C190" t="s">
        <v>671</v>
      </c>
      <c r="D190" t="s">
        <v>1969</v>
      </c>
      <c r="E190" t="s">
        <v>3117</v>
      </c>
      <c r="F190" t="s">
        <v>3130</v>
      </c>
      <c r="G190" s="2" t="s">
        <v>3320</v>
      </c>
      <c r="H190">
        <v>6.195E-05</v>
      </c>
      <c r="I190">
        <v>7.42E-05</v>
      </c>
      <c r="J190">
        <v>0.00013615</v>
      </c>
    </row>
    <row r="191" spans="1:10">
      <c r="A191">
        <f>HYPERLINK("https://mega.nz/file/bB9h2TBK#Y-Zuwtd5fvbiJYafAEpjzIfFK1lQEMRHClPIzahE1Fk", "El Libro Negro")</f>
        <v>0</v>
      </c>
      <c r="B191" t="s">
        <v>44</v>
      </c>
      <c r="C191" t="s">
        <v>672</v>
      </c>
      <c r="D191" t="s">
        <v>1970</v>
      </c>
      <c r="E191" t="s">
        <v>3117</v>
      </c>
      <c r="F191" t="s">
        <v>3130</v>
      </c>
      <c r="G191" s="2" t="s">
        <v>3321</v>
      </c>
      <c r="H191">
        <v>5.775E-05</v>
      </c>
      <c r="I191">
        <v>7.07E-05</v>
      </c>
      <c r="J191">
        <v>0.00012845</v>
      </c>
    </row>
    <row r="192" spans="1:10">
      <c r="A192">
        <f>HYPERLINK("https://mega.nz/file/SZFygSib#jpe9tJIJGDIQZi9cXmrOHA_34799NjkJAjYCRljGQLY", "El Libro Negro Mistico")</f>
        <v>0</v>
      </c>
      <c r="B192" t="s">
        <v>44</v>
      </c>
      <c r="C192" t="s">
        <v>673</v>
      </c>
      <c r="D192" t="s">
        <v>1971</v>
      </c>
      <c r="E192" t="s">
        <v>3117</v>
      </c>
      <c r="F192" t="s">
        <v>3130</v>
      </c>
      <c r="G192" s="2" t="s">
        <v>3322</v>
      </c>
      <c r="H192">
        <v>5.985E-05</v>
      </c>
      <c r="I192">
        <v>7.49E-05</v>
      </c>
      <c r="J192">
        <v>0.00013475</v>
      </c>
    </row>
    <row r="193" spans="1:10">
      <c r="A193">
        <f>HYPERLINK("https://mega.nz/file/rdkWiD7T#xz2sSELwhX1zXtC_BZfwGGJE2IYRvE23EoLiZWQwRQU", "El Libro Sagrado de la Sacerdotisa")</f>
        <v>0</v>
      </c>
      <c r="B193" t="s">
        <v>44</v>
      </c>
      <c r="C193" t="s">
        <v>674</v>
      </c>
      <c r="D193" t="s">
        <v>1972</v>
      </c>
      <c r="E193" t="s">
        <v>3117</v>
      </c>
      <c r="F193" t="s">
        <v>3130</v>
      </c>
      <c r="G193" s="2" t="s">
        <v>3323</v>
      </c>
      <c r="H193">
        <v>6.719999999999999E-05</v>
      </c>
      <c r="I193">
        <v>7.105000000000001E-05</v>
      </c>
      <c r="J193">
        <v>0.00013825</v>
      </c>
    </row>
    <row r="194" spans="1:10">
      <c r="A194">
        <f>HYPERLINK("https://mega.nz/file/jctDnTyB#WrMuA90CbByLxazodQfJfmAduMtExbyzYdOZ9ZPp7xg", "El Mago de Siberia")</f>
        <v>0</v>
      </c>
      <c r="B194" t="s">
        <v>44</v>
      </c>
      <c r="C194" t="s">
        <v>675</v>
      </c>
      <c r="D194" t="s">
        <v>1973</v>
      </c>
      <c r="E194" t="s">
        <v>3117</v>
      </c>
      <c r="F194" t="s">
        <v>3130</v>
      </c>
      <c r="G194" s="2" t="s">
        <v>3324</v>
      </c>
      <c r="H194">
        <v>6.160000000000001E-05</v>
      </c>
      <c r="I194">
        <v>7.21E-05</v>
      </c>
      <c r="J194">
        <v>0.0001337</v>
      </c>
    </row>
    <row r="195" spans="1:10">
      <c r="A195">
        <f>HYPERLINK("https://mega.nz/file/3YUBBaIb#dTuuxIT4gOqO_TZX3kA8Crw7JJgKXdlst6uvLtmBejc", "El Manuscrito Voynich")</f>
        <v>0</v>
      </c>
      <c r="B195" t="s">
        <v>44</v>
      </c>
      <c r="C195" t="s">
        <v>676</v>
      </c>
      <c r="D195" t="s">
        <v>1974</v>
      </c>
      <c r="E195" t="s">
        <v>3117</v>
      </c>
      <c r="F195" t="s">
        <v>3130</v>
      </c>
      <c r="G195" s="2" t="s">
        <v>3325</v>
      </c>
      <c r="H195">
        <v>6.160000000000001E-05</v>
      </c>
      <c r="I195">
        <v>7.385000000000001E-05</v>
      </c>
      <c r="J195">
        <v>0.00013545</v>
      </c>
    </row>
    <row r="196" spans="1:10">
      <c r="A196">
        <f>HYPERLINK("https://mega.nz/file/nMFjlAhT#9okpfb3FM7YQjDJkZmHLZP-2AcTe6gyVGIrs5bsgMV4", "El Necronomicon")</f>
        <v>0</v>
      </c>
      <c r="B196" t="s">
        <v>44</v>
      </c>
      <c r="C196" t="s">
        <v>677</v>
      </c>
      <c r="D196" t="s">
        <v>1975</v>
      </c>
      <c r="E196" t="s">
        <v>3117</v>
      </c>
      <c r="F196" t="s">
        <v>3130</v>
      </c>
      <c r="G196" s="2" t="s">
        <v>3326</v>
      </c>
      <c r="H196">
        <v>5.88E-05</v>
      </c>
      <c r="I196">
        <v>7.455E-05</v>
      </c>
      <c r="J196">
        <v>0.00013335</v>
      </c>
    </row>
    <row r="197" spans="1:10">
      <c r="A197">
        <f>HYPERLINK("https://mega.nz/file/OQFTQbxa#669ffQg6tT-22dEzfjQ82W1Mzdx27UE0Ak0eT6yAxNw", "El NecroNomicon o el Libro de los Nombres Muertos")</f>
        <v>0</v>
      </c>
      <c r="B197" t="s">
        <v>44</v>
      </c>
      <c r="C197" t="s">
        <v>678</v>
      </c>
      <c r="D197" t="s">
        <v>1976</v>
      </c>
      <c r="E197" t="s">
        <v>3117</v>
      </c>
      <c r="F197" t="s">
        <v>3130</v>
      </c>
      <c r="G197" s="2" t="s">
        <v>3327</v>
      </c>
      <c r="H197">
        <v>6.93E-05</v>
      </c>
      <c r="I197">
        <v>7.595E-05</v>
      </c>
      <c r="J197">
        <v>0.00014525</v>
      </c>
    </row>
    <row r="198" spans="1:10">
      <c r="A198">
        <f>HYPERLINK("https://mega.nz/file/PAVFEZoY#eer3dBh-Rvi1K5eTyZOl_c0rH-qw7M7-5k1aj3r1gA8", "El Ocaso De Los Mayas")</f>
        <v>0</v>
      </c>
      <c r="B198" t="s">
        <v>44</v>
      </c>
      <c r="C198" t="s">
        <v>679</v>
      </c>
      <c r="D198" t="s">
        <v>1977</v>
      </c>
      <c r="E198" t="s">
        <v>3117</v>
      </c>
      <c r="F198" t="s">
        <v>3130</v>
      </c>
      <c r="G198" s="2" t="s">
        <v>3328</v>
      </c>
      <c r="H198">
        <v>6.755E-05</v>
      </c>
      <c r="I198">
        <v>6.93E-05</v>
      </c>
      <c r="J198">
        <v>0.00013685</v>
      </c>
    </row>
    <row r="199" spans="1:10">
      <c r="A199">
        <f>HYPERLINK("https://mega.nz/file/TJtW1b7K#b2DOupqDHulju7CHRRos71cuak8qHHTtJwNKNJHOHnY", "El Pentagrama Esoterico")</f>
        <v>0</v>
      </c>
      <c r="B199" t="s">
        <v>44</v>
      </c>
      <c r="C199" t="s">
        <v>680</v>
      </c>
      <c r="D199" t="s">
        <v>1978</v>
      </c>
      <c r="E199" t="s">
        <v>3117</v>
      </c>
      <c r="F199" t="s">
        <v>3130</v>
      </c>
      <c r="G199" s="2" t="s">
        <v>3329</v>
      </c>
      <c r="H199">
        <v>6.615E-05</v>
      </c>
      <c r="I199">
        <v>6.999999999999999E-05</v>
      </c>
      <c r="J199">
        <v>0.00013615</v>
      </c>
    </row>
    <row r="200" spans="1:10">
      <c r="A200">
        <f>HYPERLINK("https://mega.nz/file/bd9g0LJS#kxQX0PkjPldWzT2rP9Z4-pkNg9Z2O0gl9wCJ5ij63uA", "El retorno de los brujos")</f>
        <v>0</v>
      </c>
      <c r="B200" t="s">
        <v>44</v>
      </c>
      <c r="C200" t="s">
        <v>681</v>
      </c>
      <c r="D200" t="s">
        <v>1979</v>
      </c>
      <c r="E200" t="s">
        <v>3117</v>
      </c>
      <c r="F200" t="s">
        <v>3130</v>
      </c>
      <c r="G200" s="2" t="s">
        <v>3330</v>
      </c>
      <c r="H200">
        <v>6.09E-05</v>
      </c>
      <c r="I200">
        <v>6.475E-05</v>
      </c>
      <c r="J200">
        <v>0.00012565</v>
      </c>
    </row>
    <row r="201" spans="1:10">
      <c r="A201">
        <f>HYPERLINK("https://mega.nz/file/zNk0RRBD#4gw-g-69zkNN5IFxWdr_qTo6OW43A9L-S1xE7pqAxww", "El ritual magico de Sanctum regnum")</f>
        <v>0</v>
      </c>
      <c r="B201" t="s">
        <v>44</v>
      </c>
      <c r="C201" t="s">
        <v>682</v>
      </c>
      <c r="D201" t="s">
        <v>1980</v>
      </c>
      <c r="E201" t="s">
        <v>3117</v>
      </c>
      <c r="F201" t="s">
        <v>3130</v>
      </c>
      <c r="G201" s="2" t="s">
        <v>3331</v>
      </c>
      <c r="H201">
        <v>6.405E-05</v>
      </c>
      <c r="I201">
        <v>6.79E-05</v>
      </c>
      <c r="J201">
        <v>0.00013195</v>
      </c>
    </row>
    <row r="202" spans="1:10">
      <c r="A202">
        <f>HYPERLINK("https://mega.nz/file/PI9khaYQ#S2kaQ8WwAFXPtQJVXPW4QOQv1QnnZYF0WaEOBZJi1NY", "El sello de dios nueve estudios sobre magia y creencias populares greco-romanas")</f>
        <v>0</v>
      </c>
      <c r="B202" t="s">
        <v>44</v>
      </c>
      <c r="C202" t="s">
        <v>683</v>
      </c>
      <c r="D202" t="s">
        <v>1981</v>
      </c>
      <c r="E202" t="s">
        <v>3117</v>
      </c>
      <c r="F202" t="s">
        <v>3130</v>
      </c>
      <c r="G202" s="2" t="s">
        <v>3332</v>
      </c>
      <c r="H202">
        <v>7.035E-05</v>
      </c>
      <c r="I202">
        <v>6.93E-05</v>
      </c>
      <c r="J202">
        <v>0.00013965</v>
      </c>
    </row>
    <row r="203" spans="1:10">
      <c r="A203">
        <f>HYPERLINK("https://mega.nz/file/eZtx3BjI#bdQNFRzcr8jqtayFpybaHvKog0mco23mXzUgjlVrNA4", "El templo en el hombre Arquitectura sagrada y el hombre perfecto")</f>
        <v>0</v>
      </c>
      <c r="B203" t="s">
        <v>44</v>
      </c>
      <c r="C203" t="s">
        <v>684</v>
      </c>
      <c r="D203" t="s">
        <v>1982</v>
      </c>
      <c r="E203" t="s">
        <v>3117</v>
      </c>
      <c r="F203" t="s">
        <v>3130</v>
      </c>
      <c r="G203" s="2" t="s">
        <v>3333</v>
      </c>
      <c r="H203">
        <v>7.245E-05</v>
      </c>
      <c r="I203">
        <v>6.37E-05</v>
      </c>
      <c r="J203">
        <v>0.00013615</v>
      </c>
    </row>
    <row r="204" spans="1:10">
      <c r="A204">
        <f>HYPERLINK("https://mega.nz/file/DR9FEQKR#zBU5n3yXSmhWWU2_Jj1nJCTHz2Ax2r049r0TFDV45M4", "El Verdadero Arte de las Brujas")</f>
        <v>0</v>
      </c>
      <c r="B204" t="s">
        <v>44</v>
      </c>
      <c r="C204" t="s">
        <v>685</v>
      </c>
      <c r="D204" t="s">
        <v>1983</v>
      </c>
      <c r="E204" t="s">
        <v>3123</v>
      </c>
      <c r="F204" t="s">
        <v>3130</v>
      </c>
      <c r="G204" s="2" t="s">
        <v>3334</v>
      </c>
      <c r="H204">
        <v>6.3E-05</v>
      </c>
      <c r="I204">
        <v>7.315E-05</v>
      </c>
      <c r="J204">
        <v>0.00013615</v>
      </c>
    </row>
    <row r="205" spans="1:10">
      <c r="A205">
        <f>HYPERLINK("https://mega.nz/file/KZ9zRAYJ#5t3IH0HwsTnJ4slDQB0SVaDz2uKwVUGLuW7_cH23XaQ", "Enciclopedia De Cristales Gemas Y Metales Magicos")</f>
        <v>0</v>
      </c>
      <c r="B205" t="s">
        <v>44</v>
      </c>
      <c r="C205" t="s">
        <v>686</v>
      </c>
      <c r="D205" t="s">
        <v>1984</v>
      </c>
      <c r="E205" t="s">
        <v>3117</v>
      </c>
      <c r="F205" t="s">
        <v>3130</v>
      </c>
      <c r="G205" s="2" t="s">
        <v>3335</v>
      </c>
      <c r="H205">
        <v>6.719999999999999E-05</v>
      </c>
      <c r="I205">
        <v>6.965E-05</v>
      </c>
      <c r="J205">
        <v>0.00013685</v>
      </c>
    </row>
    <row r="206" spans="1:10">
      <c r="A206">
        <f>HYPERLINK("https://mega.nz/file/2AtC1bhQ#uBnp-YYCe35w5oKoIPEaaQzZOWQESQCvLPROEYOuXOI", "Enciclopedia de La Magia")</f>
        <v>0</v>
      </c>
      <c r="B206" t="s">
        <v>44</v>
      </c>
      <c r="C206" t="s">
        <v>687</v>
      </c>
      <c r="D206" t="s">
        <v>1985</v>
      </c>
      <c r="E206" t="s">
        <v>3117</v>
      </c>
      <c r="F206" t="s">
        <v>3130</v>
      </c>
      <c r="G206" s="2" t="s">
        <v>3336</v>
      </c>
      <c r="H206">
        <v>6.09E-05</v>
      </c>
      <c r="I206">
        <v>7.665000000000001E-05</v>
      </c>
      <c r="J206">
        <v>0.00013755</v>
      </c>
    </row>
    <row r="207" spans="1:10">
      <c r="A207">
        <f>HYPERLINK("https://mega.nz/file/fcM11bbC#4P3JQVlY9VizK_4eZV6oQ1fueblVlxRPCN1ftILMrSY", "enhance your esp powers")</f>
        <v>0</v>
      </c>
      <c r="B207" t="s">
        <v>44</v>
      </c>
      <c r="C207" t="s">
        <v>688</v>
      </c>
      <c r="D207" t="s">
        <v>1986</v>
      </c>
      <c r="E207" t="s">
        <v>3117</v>
      </c>
      <c r="F207" t="s">
        <v>3131</v>
      </c>
      <c r="G207" s="2" t="s">
        <v>3337</v>
      </c>
      <c r="H207">
        <v>5.95E-05</v>
      </c>
      <c r="I207">
        <v>5.635E-05</v>
      </c>
      <c r="J207">
        <v>0.00011585</v>
      </c>
    </row>
    <row r="208" spans="1:10">
      <c r="A208">
        <f>HYPERLINK("https://mega.nz/file/HB1QQTxJ#ahnbG4gAPEaJkNizCTIoazd9_qgN9QeX9v8g89fA6Jk", "Eros y Magia en el Renacimiento")</f>
        <v>0</v>
      </c>
      <c r="B208" t="s">
        <v>44</v>
      </c>
      <c r="C208" t="s">
        <v>689</v>
      </c>
      <c r="D208" t="s">
        <v>1987</v>
      </c>
      <c r="E208" t="s">
        <v>3117</v>
      </c>
      <c r="F208" t="s">
        <v>3130</v>
      </c>
      <c r="G208" s="2" t="s">
        <v>3338</v>
      </c>
      <c r="H208">
        <v>6.685E-05</v>
      </c>
      <c r="I208">
        <v>7.455E-05</v>
      </c>
      <c r="J208">
        <v>0.0001414</v>
      </c>
    </row>
    <row r="209" spans="1:10">
      <c r="A209">
        <f>HYPERLINK("https://mega.nz/file/uYcTUJSQ#0BbjZwh_1Gy8R0xX49ABXGBfGZvNfHq0pJiQEeE5P-w", "Finding Labyrinths in the Maze An Examination of Some Aspects of Consciousness, Cognition, Perception, and Interpretation towards a Hermeneutics of Visual Art")</f>
        <v>0</v>
      </c>
      <c r="B209" t="s">
        <v>44</v>
      </c>
      <c r="C209" t="s">
        <v>690</v>
      </c>
      <c r="D209" t="s">
        <v>1988</v>
      </c>
      <c r="E209" t="s">
        <v>3117</v>
      </c>
      <c r="F209" t="s">
        <v>3131</v>
      </c>
      <c r="G209" s="2" t="s">
        <v>3339</v>
      </c>
      <c r="H209">
        <v>8.96E-05</v>
      </c>
      <c r="I209">
        <v>5.635E-05</v>
      </c>
      <c r="J209">
        <v>0.00014595</v>
      </c>
    </row>
    <row r="210" spans="1:10">
      <c r="A210">
        <f>HYPERLINK("https://mega.nz/file/SQMUUDqD#DxJDnKdfuQfyoRtZA3tMMOhSt4sskLLnwFjCZleI8JA", "Flower of Life")</f>
        <v>0</v>
      </c>
      <c r="B210" t="s">
        <v>44</v>
      </c>
      <c r="C210" t="s">
        <v>691</v>
      </c>
      <c r="D210" t="s">
        <v>1989</v>
      </c>
      <c r="E210" t="s">
        <v>3117</v>
      </c>
      <c r="F210" t="s">
        <v>3131</v>
      </c>
      <c r="G210" s="2" t="s">
        <v>3340</v>
      </c>
      <c r="H210">
        <v>5.88E-05</v>
      </c>
      <c r="I210">
        <v>5.04E-05</v>
      </c>
      <c r="J210">
        <v>0.0001092</v>
      </c>
    </row>
    <row r="211" spans="1:10">
      <c r="A211">
        <f>HYPERLINK("https://mega.nz/file/rAcS2AQQ#CSUFf8kXL43hKno_JORenNp7bon7qGeuVnGiKvfL5qI", "Focus of Life")</f>
        <v>0</v>
      </c>
      <c r="B211" t="s">
        <v>44</v>
      </c>
      <c r="C211" t="s">
        <v>692</v>
      </c>
      <c r="D211" t="s">
        <v>1990</v>
      </c>
      <c r="E211" t="s">
        <v>3117</v>
      </c>
      <c r="F211" t="s">
        <v>3131</v>
      </c>
      <c r="G211" s="2" t="s">
        <v>3341</v>
      </c>
      <c r="H211">
        <v>5.88E-05</v>
      </c>
      <c r="I211">
        <v>4.9E-05</v>
      </c>
      <c r="J211">
        <v>0.0001078</v>
      </c>
    </row>
    <row r="212" spans="1:10">
      <c r="A212">
        <f>HYPERLINK("https://mega.nz/file/iJdBBYqZ#0_mfHCgZbDRDDoMx_KGIEOsye9udMd8AsZjgdOvDPjI", "FORBIDDEN KNOWLEDGE - ANTI ESOTERIC POLEMICS AND ACADEMIC RESEARCH")</f>
        <v>0</v>
      </c>
      <c r="B212" t="s">
        <v>44</v>
      </c>
      <c r="C212" t="s">
        <v>693</v>
      </c>
      <c r="D212" t="s">
        <v>1991</v>
      </c>
      <c r="E212" t="s">
        <v>3117</v>
      </c>
      <c r="F212" t="s">
        <v>3131</v>
      </c>
      <c r="G212" s="2" t="s">
        <v>3342</v>
      </c>
      <c r="H212">
        <v>7.385000000000001E-05</v>
      </c>
      <c r="I212">
        <v>5.565E-05</v>
      </c>
      <c r="J212">
        <v>0.0001295</v>
      </c>
    </row>
    <row r="213" spans="1:10">
      <c r="A213">
        <f>HYPERLINK("https://mega.nz/file/aVcAya5D#emej-fKUmKM9SV2mQEDH1a89uCP3lVus6PP8HHcTDVc", "Fortune telling with cards")</f>
        <v>0</v>
      </c>
      <c r="B213" t="s">
        <v>44</v>
      </c>
      <c r="C213" t="s">
        <v>694</v>
      </c>
      <c r="D213" t="s">
        <v>1992</v>
      </c>
      <c r="E213" t="s">
        <v>3117</v>
      </c>
      <c r="F213" t="s">
        <v>3131</v>
      </c>
      <c r="G213" s="2" t="s">
        <v>3343</v>
      </c>
      <c r="H213">
        <v>5.88E-05</v>
      </c>
      <c r="I213">
        <v>5.495E-05</v>
      </c>
      <c r="J213">
        <v>0.00011375</v>
      </c>
    </row>
    <row r="214" spans="1:10">
      <c r="A214">
        <f>HYPERLINK("https://mega.nz/file/KBlmHB5Q#pCn7tB4jDiVW-6kxukO_FysgSQtdeh-URDkS-QFWQrw", "FREEMASONRY AND THE OCCULT AT THE COURT OF PETER THE GREAT")</f>
        <v>0</v>
      </c>
      <c r="B214" t="s">
        <v>44</v>
      </c>
      <c r="C214" t="s">
        <v>695</v>
      </c>
      <c r="D214" t="s">
        <v>1993</v>
      </c>
      <c r="E214" t="s">
        <v>3117</v>
      </c>
      <c r="F214" t="s">
        <v>3131</v>
      </c>
      <c r="G214" s="2" t="s">
        <v>3344</v>
      </c>
      <c r="H214">
        <v>7.035E-05</v>
      </c>
      <c r="I214">
        <v>5.53E-05</v>
      </c>
      <c r="J214">
        <v>0.00012565</v>
      </c>
    </row>
    <row r="215" spans="1:10">
      <c r="A215">
        <f>HYPERLINK("https://mega.nz/file/CJUxlIgD#d9IuO4aTwXZvXrYB2LTiAh1KgApXcoHQGsBt0-6YW3A", "Full Moon Rituals")</f>
        <v>0</v>
      </c>
      <c r="B215" t="s">
        <v>44</v>
      </c>
      <c r="C215" t="s">
        <v>696</v>
      </c>
      <c r="D215" t="s">
        <v>1994</v>
      </c>
      <c r="E215" t="s">
        <v>3117</v>
      </c>
      <c r="F215" t="s">
        <v>3131</v>
      </c>
      <c r="G215" s="2" t="s">
        <v>3345</v>
      </c>
      <c r="H215">
        <v>5.88E-05</v>
      </c>
      <c r="I215">
        <v>5.075E-05</v>
      </c>
      <c r="J215">
        <v>0.00010955</v>
      </c>
    </row>
    <row r="216" spans="1:10">
      <c r="A216">
        <f>HYPERLINK("https://mega.nz/file/yF9WyCCA#cVLBR_3-CgsDcljGFuLqMmYOGRYLF2vCAXfVARPVle0", "Funeral and Magical Rituals Among the Komi")</f>
        <v>0</v>
      </c>
      <c r="B216" t="s">
        <v>44</v>
      </c>
      <c r="C216" t="s">
        <v>697</v>
      </c>
      <c r="D216" t="s">
        <v>1995</v>
      </c>
      <c r="E216" t="s">
        <v>3117</v>
      </c>
      <c r="F216" t="s">
        <v>3131</v>
      </c>
      <c r="G216" s="2" t="s">
        <v>3346</v>
      </c>
      <c r="H216">
        <v>6.615E-05</v>
      </c>
      <c r="I216">
        <v>5.74E-05</v>
      </c>
      <c r="J216">
        <v>0.00012355</v>
      </c>
    </row>
    <row r="217" spans="1:10">
      <c r="A217">
        <f>HYPERLINK("https://mega.nz/file/nZtDCD4Q#KZV7l-9UFhOkZBnE6DfXMXU6xRd6uq4s9tgNHT8qD1Q", "Galdr - Verbal Rune Magic")</f>
        <v>0</v>
      </c>
      <c r="B217" t="s">
        <v>44</v>
      </c>
      <c r="C217" t="s">
        <v>698</v>
      </c>
      <c r="D217" t="s">
        <v>1996</v>
      </c>
      <c r="E217" t="s">
        <v>3124</v>
      </c>
      <c r="F217" t="s">
        <v>3131</v>
      </c>
      <c r="G217" s="2" t="s">
        <v>3347</v>
      </c>
      <c r="H217">
        <v>6.195E-05</v>
      </c>
      <c r="I217">
        <v>4.76E-05</v>
      </c>
      <c r="J217">
        <v>0.00010955</v>
      </c>
    </row>
    <row r="218" spans="1:10">
      <c r="A218">
        <f>HYPERLINK("https://mega.nz/file/idlAmQyC#6S4ZvPrPy4vQ4CIgsRfuVd-ahMn6HKFVGBP97-FnBsI", "Global Tyranny Step By Step - The United Nations and the Emerging New World Order")</f>
        <v>0</v>
      </c>
      <c r="B218" t="s">
        <v>44</v>
      </c>
      <c r="C218" t="s">
        <v>699</v>
      </c>
      <c r="D218" t="s">
        <v>1997</v>
      </c>
      <c r="E218" t="s">
        <v>3117</v>
      </c>
      <c r="F218" t="s">
        <v>3131</v>
      </c>
      <c r="G218" s="2" t="s">
        <v>3348</v>
      </c>
      <c r="H218">
        <v>7.315E-05</v>
      </c>
      <c r="I218">
        <v>5.845E-05</v>
      </c>
      <c r="J218">
        <v>0.0001316</v>
      </c>
    </row>
    <row r="219" spans="1:10">
      <c r="A219">
        <f>HYPERLINK("https://mega.nz/file/yQlzABbK#3O6D3UVBgflILdgkh1gOFWw2Ayty0uhxc5pUQ_bzBHE", "Glossary of Gnostic Terms")</f>
        <v>0</v>
      </c>
      <c r="B219" t="s">
        <v>44</v>
      </c>
      <c r="C219" t="s">
        <v>700</v>
      </c>
      <c r="D219" t="s">
        <v>1998</v>
      </c>
      <c r="E219" t="s">
        <v>3117</v>
      </c>
      <c r="F219" t="s">
        <v>3131</v>
      </c>
      <c r="G219" s="2" t="s">
        <v>3349</v>
      </c>
      <c r="H219">
        <v>6.125E-05</v>
      </c>
      <c r="I219">
        <v>5.005E-05</v>
      </c>
      <c r="J219">
        <v>0.0001113</v>
      </c>
    </row>
    <row r="220" spans="1:10">
      <c r="A220">
        <f>HYPERLINK("https://mega.nz/file/CR8yWJ7R#gjSKZmMTBT6RSBnvrccDe8E-BuUEDatZUuyTVhaVwT4", "Gnosis- Inside Outside Upside Down")</f>
        <v>0</v>
      </c>
      <c r="B220" t="s">
        <v>44</v>
      </c>
      <c r="C220" t="s">
        <v>701</v>
      </c>
      <c r="D220" t="s">
        <v>1999</v>
      </c>
      <c r="E220" t="s">
        <v>3122</v>
      </c>
      <c r="F220" t="s">
        <v>3131</v>
      </c>
      <c r="G220" s="2" t="s">
        <v>3350</v>
      </c>
      <c r="H220">
        <v>6.3E-05</v>
      </c>
      <c r="I220">
        <v>5.425E-05</v>
      </c>
      <c r="J220">
        <v>0.00011725</v>
      </c>
    </row>
    <row r="221" spans="1:10">
      <c r="A221">
        <f>HYPERLINK("https://mega.nz/file/nBlyGZBL#HgTPT63smyjRBtLQx5LZbtlnPN5jeekDg0fDCxSk3g4", "God's Last, Best Gift to Mankind- Gnostic Science and the Eschaton in the Vision of John Murray Spear")</f>
        <v>0</v>
      </c>
      <c r="B221" t="s">
        <v>44</v>
      </c>
      <c r="C221" t="s">
        <v>702</v>
      </c>
      <c r="D221" t="s">
        <v>2000</v>
      </c>
      <c r="E221" t="s">
        <v>3117</v>
      </c>
      <c r="F221" t="s">
        <v>3131</v>
      </c>
      <c r="G221" s="2" t="s">
        <v>3351</v>
      </c>
      <c r="H221">
        <v>7.98E-05</v>
      </c>
      <c r="I221">
        <v>5.915E-05</v>
      </c>
      <c r="J221">
        <v>0.00013895</v>
      </c>
    </row>
    <row r="222" spans="1:10">
      <c r="A222">
        <f>HYPERLINK("https://mega.nz/file/rElDVCwI#LOPyGAG4L2xVyjFqtGr0kEjNsbVlwUOfOWRgESAUhc8", "Goetia A Record of Experiments in Demonology")</f>
        <v>0</v>
      </c>
      <c r="B222" t="s">
        <v>44</v>
      </c>
      <c r="C222" t="s">
        <v>703</v>
      </c>
      <c r="D222" t="s">
        <v>2001</v>
      </c>
      <c r="E222" t="s">
        <v>3117</v>
      </c>
      <c r="F222" t="s">
        <v>3131</v>
      </c>
      <c r="G222" s="2" t="s">
        <v>3352</v>
      </c>
      <c r="H222">
        <v>6.999999999999999E-05</v>
      </c>
      <c r="I222">
        <v>6.195E-05</v>
      </c>
      <c r="J222">
        <v>0.00013195</v>
      </c>
    </row>
    <row r="223" spans="1:10">
      <c r="A223">
        <f>HYPERLINK("https://mega.nz/file/WFlAUSIY#dEi9xRyhZzRoKUCKAnxKJrx9k3ZrNdU_8epBcTxfKMk", "Golden Bough")</f>
        <v>0</v>
      </c>
      <c r="B223" t="s">
        <v>44</v>
      </c>
      <c r="C223" t="s">
        <v>704</v>
      </c>
      <c r="D223" t="s">
        <v>2002</v>
      </c>
      <c r="E223" t="s">
        <v>3117</v>
      </c>
      <c r="F223" t="s">
        <v>3131</v>
      </c>
      <c r="G223" s="2" t="s">
        <v>3353</v>
      </c>
      <c r="H223">
        <v>5.775E-05</v>
      </c>
      <c r="I223">
        <v>5.39E-05</v>
      </c>
      <c r="J223">
        <v>0.00011165</v>
      </c>
    </row>
    <row r="224" spans="1:10">
      <c r="A224">
        <f>HYPERLINK("https://mega.nz/file/aAlDkAxY#zNu-A5fZWWcwQ_nE5KvG9guxGQs7_ktCO_xy-IaKBUE", "Golden Chain and the Lonely Road")</f>
        <v>0</v>
      </c>
      <c r="B224" t="s">
        <v>44</v>
      </c>
      <c r="C224" t="s">
        <v>705</v>
      </c>
      <c r="D224" t="s">
        <v>2003</v>
      </c>
      <c r="E224" t="s">
        <v>3117</v>
      </c>
      <c r="F224" t="s">
        <v>3131</v>
      </c>
      <c r="G224" s="2" t="s">
        <v>3354</v>
      </c>
      <c r="H224">
        <v>6.09E-05</v>
      </c>
      <c r="I224">
        <v>5.005E-05</v>
      </c>
      <c r="J224">
        <v>0.00011095</v>
      </c>
    </row>
    <row r="225" spans="1:10">
      <c r="A225">
        <f>HYPERLINK("https://mega.nz/file/bINl0IqA#JBLqhxKW38FMktdmTPADNw3VNymr5r6t1Jq37MdHLyk", "Grand Grimoire")</f>
        <v>0</v>
      </c>
      <c r="B225" t="s">
        <v>44</v>
      </c>
      <c r="C225" t="s">
        <v>706</v>
      </c>
      <c r="D225" t="s">
        <v>2004</v>
      </c>
      <c r="E225" t="s">
        <v>3117</v>
      </c>
      <c r="F225" t="s">
        <v>3131</v>
      </c>
      <c r="G225" s="2" t="s">
        <v>3355</v>
      </c>
      <c r="H225">
        <v>5.88E-05</v>
      </c>
      <c r="I225">
        <v>5.775E-05</v>
      </c>
      <c r="J225">
        <v>0.00011655</v>
      </c>
    </row>
    <row r="226" spans="1:10">
      <c r="A226">
        <f>HYPERLINK("https://mega.nz/file/CRt31bCI#BnDCrzpeW7mQicgMmAWVY2qkh5-gEOaDuXZEDl_x_qM", "Grand Grimoire")</f>
        <v>0</v>
      </c>
      <c r="B226" t="s">
        <v>44</v>
      </c>
      <c r="C226" t="s">
        <v>706</v>
      </c>
      <c r="D226" t="s">
        <v>2005</v>
      </c>
      <c r="E226" t="s">
        <v>3117</v>
      </c>
      <c r="F226" t="s">
        <v>3131</v>
      </c>
      <c r="G226" s="2" t="s">
        <v>3356</v>
      </c>
      <c r="H226">
        <v>5.845E-05</v>
      </c>
      <c r="I226">
        <v>6.195E-05</v>
      </c>
      <c r="J226">
        <v>0.0001204</v>
      </c>
    </row>
    <row r="227" spans="1:10">
      <c r="A227">
        <f>HYPERLINK("https://mega.nz/file/jQdBBJ6A#9cclqzII8XhXU2TuwAoz4MZbkKh1ojTsxQo5TAjtm-w", "Grandes Enigmas De La Historia 02 - Las Lineas De Nazca")</f>
        <v>0</v>
      </c>
      <c r="B227" t="s">
        <v>44</v>
      </c>
      <c r="C227" t="s">
        <v>707</v>
      </c>
      <c r="D227" t="s">
        <v>2006</v>
      </c>
      <c r="E227" t="s">
        <v>3117</v>
      </c>
      <c r="F227" t="s">
        <v>3130</v>
      </c>
      <c r="G227" s="2" t="s">
        <v>3357</v>
      </c>
      <c r="H227">
        <v>7.49E-05</v>
      </c>
      <c r="I227">
        <v>7.035E-05</v>
      </c>
      <c r="J227">
        <v>0.00014525</v>
      </c>
    </row>
    <row r="228" spans="1:10">
      <c r="A228">
        <f>HYPERLINK("https://mega.nz/file/3FlQSRJK#gLtfFY3mWsuNmPbR5_CTXTv-qMsephtvjoFnJ0MD1DE", "Grandes Enigmas De La Historia 04 - Las Logias Masonicas")</f>
        <v>0</v>
      </c>
      <c r="B228" t="s">
        <v>44</v>
      </c>
      <c r="C228" t="s">
        <v>708</v>
      </c>
      <c r="D228" t="s">
        <v>2007</v>
      </c>
      <c r="E228" t="s">
        <v>3120</v>
      </c>
      <c r="F228" t="s">
        <v>3130</v>
      </c>
      <c r="G228" s="2" t="s">
        <v>3358</v>
      </c>
      <c r="H228">
        <v>7.385000000000001E-05</v>
      </c>
      <c r="I228">
        <v>6.51E-05</v>
      </c>
      <c r="J228">
        <v>0.00013895</v>
      </c>
    </row>
    <row r="229" spans="1:10">
      <c r="A229">
        <f>HYPERLINK("https://mega.nz/file/WQ0kmD7B#Bsum2TwWPPVWBf8Jm59Y7e5gYj6lk3RhON9KBDPabOo", "Grandes Enigmas De La Historia 14 - Los Ultimos Dinosaurios")</f>
        <v>0</v>
      </c>
      <c r="B229" t="s">
        <v>44</v>
      </c>
      <c r="C229" t="s">
        <v>709</v>
      </c>
      <c r="D229" t="s">
        <v>2008</v>
      </c>
      <c r="E229" t="s">
        <v>3117</v>
      </c>
      <c r="F229" t="s">
        <v>3130</v>
      </c>
      <c r="G229" s="2" t="s">
        <v>3359</v>
      </c>
      <c r="H229">
        <v>7.385000000000001E-05</v>
      </c>
      <c r="I229">
        <v>7.279999999999999E-05</v>
      </c>
      <c r="J229">
        <v>0.00014665</v>
      </c>
    </row>
    <row r="230" spans="1:10">
      <c r="A230">
        <f>HYPERLINK("https://mega.nz/file/DElC3ShI#ntC-cSVqvbVH6PEQ_YQkiOTBs702oRu1xyKIojwBIxk", "Grandes Misterios De La Egiptologia")</f>
        <v>0</v>
      </c>
      <c r="B230" t="s">
        <v>44</v>
      </c>
      <c r="C230" t="s">
        <v>710</v>
      </c>
      <c r="D230" t="s">
        <v>2009</v>
      </c>
      <c r="E230" t="s">
        <v>3128</v>
      </c>
      <c r="F230" t="s">
        <v>3130</v>
      </c>
      <c r="G230" s="2" t="s">
        <v>3360</v>
      </c>
      <c r="H230">
        <v>6.58E-05</v>
      </c>
      <c r="I230">
        <v>7.42E-05</v>
      </c>
      <c r="J230">
        <v>0.00014</v>
      </c>
    </row>
    <row r="231" spans="1:10">
      <c r="A231">
        <f>HYPERLINK("https://mega.nz/file/iMMDXYKK#LaEuBKTaMvBn8O0L7A5O3K6bNvVTUCPEg4VgILKD4UY", "Great Fuss and Fume Over the Omnipotent Oom")</f>
        <v>0</v>
      </c>
      <c r="B231" t="s">
        <v>44</v>
      </c>
      <c r="C231" t="s">
        <v>711</v>
      </c>
      <c r="D231" t="s">
        <v>2010</v>
      </c>
      <c r="E231" t="s">
        <v>3117</v>
      </c>
      <c r="F231" t="s">
        <v>3131</v>
      </c>
      <c r="G231" s="2" t="s">
        <v>3361</v>
      </c>
      <c r="H231">
        <v>6.615E-05</v>
      </c>
      <c r="I231">
        <v>5.53E-05</v>
      </c>
      <c r="J231">
        <v>0.00012145</v>
      </c>
    </row>
    <row r="232" spans="1:10">
      <c r="A232">
        <f>HYPERLINK("https://mega.nz/file/vJclwLBQ#fno8RqkCLaGV4lR1XA6c7xVl3SKgbZebKJCQbza4wXs", "Grimoire of Chaos Magick")</f>
        <v>0</v>
      </c>
      <c r="B232" t="s">
        <v>44</v>
      </c>
      <c r="C232" t="s">
        <v>712</v>
      </c>
      <c r="D232" t="s">
        <v>2011</v>
      </c>
      <c r="E232" t="s">
        <v>3125</v>
      </c>
      <c r="F232" t="s">
        <v>3131</v>
      </c>
      <c r="G232" s="2" t="s">
        <v>3362</v>
      </c>
      <c r="H232">
        <v>6.09E-05</v>
      </c>
      <c r="I232">
        <v>4.865E-05</v>
      </c>
      <c r="J232">
        <v>0.00010955</v>
      </c>
    </row>
    <row r="233" spans="1:10">
      <c r="A233">
        <f>HYPERLINK("https://mega.nz/file/PAFmBKhR#ppoejp7B_GjYADMdFh9cHwDmk2WE-gFPQjHOzgOKuow", "Grimoire of Honorius")</f>
        <v>0</v>
      </c>
      <c r="B233" t="s">
        <v>44</v>
      </c>
      <c r="C233" t="s">
        <v>713</v>
      </c>
      <c r="D233" t="s">
        <v>2012</v>
      </c>
      <c r="E233" t="s">
        <v>3117</v>
      </c>
      <c r="F233" t="s">
        <v>3131</v>
      </c>
      <c r="G233" s="2" t="s">
        <v>3363</v>
      </c>
      <c r="H233">
        <v>5.985E-05</v>
      </c>
      <c r="I233">
        <v>4.76E-05</v>
      </c>
      <c r="J233">
        <v>0.00010745</v>
      </c>
    </row>
    <row r="234" spans="1:10">
      <c r="A234">
        <f>HYPERLINK("https://mega.nz/file/HI8R3RZD#FeHO2u4gpa973yAcso45Gu7oiWWn93MuQVA7jPNigT0", "Grimoirium Verum")</f>
        <v>0</v>
      </c>
      <c r="B234" t="s">
        <v>44</v>
      </c>
      <c r="C234" t="s">
        <v>714</v>
      </c>
      <c r="D234" t="s">
        <v>2013</v>
      </c>
      <c r="E234" t="s">
        <v>3117</v>
      </c>
      <c r="F234" t="s">
        <v>3131</v>
      </c>
      <c r="G234" s="2" t="s">
        <v>3364</v>
      </c>
      <c r="H234">
        <v>5.985E-05</v>
      </c>
      <c r="I234">
        <v>5.6E-05</v>
      </c>
      <c r="J234">
        <v>0.00011585</v>
      </c>
    </row>
    <row r="235" spans="1:10">
      <c r="A235">
        <f>HYPERLINK("https://mega.nz/file/fZdGECJC#eD6wk5v9g5eB-jTNtn1dk5s3rGg4wBmih1X46Ugx9po", "grimorio")</f>
        <v>0</v>
      </c>
      <c r="B235" t="s">
        <v>44</v>
      </c>
      <c r="C235" t="s">
        <v>715</v>
      </c>
      <c r="D235" t="s">
        <v>2014</v>
      </c>
      <c r="E235" t="s">
        <v>3117</v>
      </c>
      <c r="F235" t="s">
        <v>3131</v>
      </c>
      <c r="G235" s="2" t="s">
        <v>3365</v>
      </c>
      <c r="H235">
        <v>5.95E-05</v>
      </c>
      <c r="I235">
        <v>5.495E-05</v>
      </c>
      <c r="J235">
        <v>0.00011445</v>
      </c>
    </row>
    <row r="236" spans="1:10">
      <c r="A236">
        <f>HYPERLINK("https://mega.nz/file/iU9HQZAZ#BbyaeDZdb33WnQR6teO7UPmtrdVVJe7wa-h8VpWo6BI", "Grimorio de Astaroth IV")</f>
        <v>0</v>
      </c>
      <c r="B236" t="s">
        <v>44</v>
      </c>
      <c r="C236" t="s">
        <v>716</v>
      </c>
      <c r="D236" t="s">
        <v>2015</v>
      </c>
      <c r="E236" t="s">
        <v>1188</v>
      </c>
      <c r="F236" t="s">
        <v>3130</v>
      </c>
      <c r="G236" s="2" t="s">
        <v>3366</v>
      </c>
      <c r="H236">
        <v>6.195E-05</v>
      </c>
      <c r="I236">
        <v>7.49E-05</v>
      </c>
      <c r="J236">
        <v>0.00013685</v>
      </c>
    </row>
    <row r="237" spans="1:10">
      <c r="A237">
        <f>HYPERLINK("https://mega.nz/file/SUlRVBaC#VnJBwS06lTFS8e4jgmjuNIACK8ElSDMGSDKWDyfCyMc", "Grimorio Herbalismo")</f>
        <v>0</v>
      </c>
      <c r="B237" t="s">
        <v>44</v>
      </c>
      <c r="C237" t="s">
        <v>717</v>
      </c>
      <c r="D237" t="s">
        <v>2016</v>
      </c>
      <c r="E237" t="s">
        <v>3117</v>
      </c>
      <c r="F237" t="s">
        <v>3131</v>
      </c>
      <c r="G237" s="2" t="s">
        <v>3367</v>
      </c>
      <c r="H237">
        <v>5.88E-05</v>
      </c>
      <c r="I237">
        <v>5.355E-05</v>
      </c>
      <c r="J237">
        <v>0.00011235</v>
      </c>
    </row>
    <row r="238" spans="1:10">
      <c r="A238">
        <f>HYPERLINK("https://mega.nz/file/jFcxjbBL#Otiy_hbupvMV24pCHQKCmwQ-MTyThD-4qlfq2NC11LU", "grimorio verde")</f>
        <v>0</v>
      </c>
      <c r="B238" t="s">
        <v>44</v>
      </c>
      <c r="C238" t="s">
        <v>718</v>
      </c>
      <c r="D238" t="s">
        <v>2017</v>
      </c>
      <c r="E238" t="s">
        <v>3117</v>
      </c>
      <c r="F238" t="s">
        <v>3131</v>
      </c>
      <c r="G238" s="2" t="s">
        <v>3368</v>
      </c>
      <c r="H238">
        <v>5.88E-05</v>
      </c>
      <c r="I238">
        <v>5.81E-05</v>
      </c>
      <c r="J238">
        <v>0.0001169</v>
      </c>
    </row>
    <row r="239" spans="1:10">
      <c r="A239">
        <f>HYPERLINK("https://mega.nz/file/fUVSFDxJ#e6ARdnDSJ5IwA5e37r9m2jZtPisHyxQOcMXS-C0EtS8", "Grimorium Verum")</f>
        <v>0</v>
      </c>
      <c r="B239" t="s">
        <v>44</v>
      </c>
      <c r="C239" t="s">
        <v>719</v>
      </c>
      <c r="D239" t="s">
        <v>2018</v>
      </c>
      <c r="E239" t="s">
        <v>3117</v>
      </c>
      <c r="F239" t="s">
        <v>3131</v>
      </c>
      <c r="G239" s="2" t="s">
        <v>3369</v>
      </c>
      <c r="H239">
        <v>5.88E-05</v>
      </c>
      <c r="I239">
        <v>5.285E-05</v>
      </c>
      <c r="J239">
        <v>0.00011165</v>
      </c>
    </row>
    <row r="240" spans="1:10">
      <c r="A240">
        <f>HYPERLINK("https://mega.nz/file/vRky2JIb#lC0nDCT6V7iy8pPpegSZ9ERrTqZL8ZjRXN-U1xjqPw0", "Guide 2 Witchcraft")</f>
        <v>0</v>
      </c>
      <c r="B240" t="s">
        <v>44</v>
      </c>
      <c r="C240" t="s">
        <v>720</v>
      </c>
      <c r="D240" t="s">
        <v>2019</v>
      </c>
      <c r="E240" t="s">
        <v>3123</v>
      </c>
      <c r="F240" t="s">
        <v>3131</v>
      </c>
      <c r="G240" s="2" t="s">
        <v>3370</v>
      </c>
      <c r="H240">
        <v>6.3E-05</v>
      </c>
      <c r="I240">
        <v>5.11E-05</v>
      </c>
      <c r="J240">
        <v>0.0001141</v>
      </c>
    </row>
    <row r="241" spans="1:10">
      <c r="A241">
        <f>HYPERLINK("https://mega.nz/file/DIE3CLgZ#ShgmjpXswEBO81qwfof7k6gjnQl5lBgbj2tlmuuOhmk", "Gypsy Sorcery and Fortune Telling")</f>
        <v>0</v>
      </c>
      <c r="B241" t="s">
        <v>44</v>
      </c>
      <c r="C241" t="s">
        <v>721</v>
      </c>
      <c r="D241" t="s">
        <v>2020</v>
      </c>
      <c r="E241" t="s">
        <v>3117</v>
      </c>
      <c r="F241" t="s">
        <v>3131</v>
      </c>
      <c r="G241" s="2" t="s">
        <v>3371</v>
      </c>
      <c r="H241">
        <v>6.195E-05</v>
      </c>
      <c r="I241">
        <v>5.25E-05</v>
      </c>
      <c r="J241">
        <v>0.00011445</v>
      </c>
    </row>
    <row r="242" spans="1:10">
      <c r="A242">
        <f>HYPERLINK("https://mega.nz/file/qIdXmCTB#gA_lPdaRLkhokxnNTC11K3NYpwiHuGryxxOpiksDXR4", "Hagakure - El Libro Del Samurai")</f>
        <v>0</v>
      </c>
      <c r="B242" t="s">
        <v>44</v>
      </c>
      <c r="C242" t="s">
        <v>722</v>
      </c>
      <c r="D242" t="s">
        <v>2021</v>
      </c>
      <c r="E242" t="s">
        <v>3117</v>
      </c>
      <c r="F242" t="s">
        <v>3130</v>
      </c>
      <c r="G242" s="2" t="s">
        <v>3372</v>
      </c>
      <c r="H242">
        <v>6.405E-05</v>
      </c>
      <c r="I242">
        <v>7.559999999999999E-05</v>
      </c>
      <c r="J242">
        <v>0.00013965</v>
      </c>
    </row>
    <row r="243" spans="1:10">
      <c r="A243">
        <f>HYPERLINK("https://mega.nz/file/PF9TSCDR#DumbaVI_pRMhGDRt6TVV8lS-BsLytBxZNiSy6nQi2qM", "Hakenkreuz Gammadion Swastika Estrellas Laberintos y Caminos de Los Muertos Vol 2")</f>
        <v>0</v>
      </c>
      <c r="B243" t="s">
        <v>44</v>
      </c>
      <c r="C243" t="s">
        <v>723</v>
      </c>
      <c r="D243" t="s">
        <v>2022</v>
      </c>
      <c r="E243" t="s">
        <v>3117</v>
      </c>
      <c r="F243" t="s">
        <v>3130</v>
      </c>
      <c r="G243" s="2" t="s">
        <v>3373</v>
      </c>
      <c r="H243">
        <v>8.610000000000001E-05</v>
      </c>
      <c r="I243">
        <v>7.91E-05</v>
      </c>
      <c r="J243">
        <v>0.0001652</v>
      </c>
    </row>
    <row r="244" spans="1:10">
      <c r="A244">
        <f>HYPERLINK("https://mega.nz/file/CYtV3RKL#2-3rFsULpXH5S1ZkGN4bP4u-Vgrpsjrsg8WSrn774J8", "Hechiceria satanica")</f>
        <v>0</v>
      </c>
      <c r="B244" t="s">
        <v>44</v>
      </c>
      <c r="C244" t="s">
        <v>724</v>
      </c>
      <c r="D244" t="s">
        <v>2023</v>
      </c>
      <c r="E244" t="s">
        <v>3117</v>
      </c>
      <c r="F244" t="s">
        <v>3131</v>
      </c>
      <c r="G244" s="2" t="s">
        <v>3374</v>
      </c>
      <c r="H244">
        <v>5.985E-05</v>
      </c>
      <c r="I244">
        <v>5.11E-05</v>
      </c>
      <c r="J244">
        <v>0.00011095</v>
      </c>
    </row>
    <row r="245" spans="1:10">
      <c r="A245">
        <f>HYPERLINK("https://mega.nz/file/jUFEEQQS#hKcQVUF1Xd5AwkHBEIkxmwZ1b8YU3n08ZqFHwSewJgk", "Heptameron")</f>
        <v>0</v>
      </c>
      <c r="B245" t="s">
        <v>44</v>
      </c>
      <c r="C245" t="s">
        <v>725</v>
      </c>
      <c r="D245" t="s">
        <v>2024</v>
      </c>
      <c r="E245" t="s">
        <v>3117</v>
      </c>
      <c r="F245" t="s">
        <v>3131</v>
      </c>
      <c r="G245" s="2" t="s">
        <v>3375</v>
      </c>
      <c r="H245">
        <v>5.775E-05</v>
      </c>
      <c r="I245">
        <v>4.69E-05</v>
      </c>
      <c r="J245">
        <v>0.00010465</v>
      </c>
    </row>
    <row r="246" spans="1:10">
      <c r="A246">
        <f>HYPERLINK("https://mega.nz/file/PU0VQJjL#zg6JRqZLwC74sgHJR7iNXFx80tIg0zuh9hM-LvRIxi8", "Herbs and Their Magical Properties")</f>
        <v>0</v>
      </c>
      <c r="B246" t="s">
        <v>44</v>
      </c>
      <c r="C246" t="s">
        <v>726</v>
      </c>
      <c r="D246" t="s">
        <v>2025</v>
      </c>
      <c r="E246" t="s">
        <v>3117</v>
      </c>
      <c r="F246" t="s">
        <v>3131</v>
      </c>
      <c r="G246" s="2" t="s">
        <v>3376</v>
      </c>
      <c r="H246">
        <v>6.09E-05</v>
      </c>
      <c r="I246">
        <v>5.775E-05</v>
      </c>
      <c r="J246">
        <v>0.00011865</v>
      </c>
    </row>
    <row r="247" spans="1:10">
      <c r="A247">
        <f>HYPERLINK("https://mega.nz/file/uc0hRK5T#beuCuGqlTLsl4Qcw1nbrl_qkfn1CWyaV8hwXmWs7d-4", "Hermetic and Rosicrucian Mystery")</f>
        <v>0</v>
      </c>
      <c r="B247" t="s">
        <v>44</v>
      </c>
      <c r="C247" t="s">
        <v>727</v>
      </c>
      <c r="D247" t="s">
        <v>2026</v>
      </c>
      <c r="E247" t="s">
        <v>3129</v>
      </c>
      <c r="F247" t="s">
        <v>3131</v>
      </c>
      <c r="G247" s="2" t="s">
        <v>3377</v>
      </c>
      <c r="H247">
        <v>6.3E-05</v>
      </c>
      <c r="I247">
        <v>5.565E-05</v>
      </c>
      <c r="J247">
        <v>0.00011865</v>
      </c>
    </row>
    <row r="248" spans="1:10">
      <c r="A248">
        <f>HYPERLINK("https://mega.nz/file/TcMGBYjS#qbPUsA6JVpAG8HH_silKdPk8imZJpTja4A-v_ZuQl90", "Hermetic Arcanum")</f>
        <v>0</v>
      </c>
      <c r="B248" t="s">
        <v>44</v>
      </c>
      <c r="C248" t="s">
        <v>728</v>
      </c>
      <c r="D248" t="s">
        <v>2027</v>
      </c>
      <c r="E248" t="s">
        <v>3117</v>
      </c>
      <c r="F248" t="s">
        <v>3131</v>
      </c>
      <c r="G248" s="2" t="s">
        <v>3378</v>
      </c>
      <c r="H248">
        <v>5.985E-05</v>
      </c>
      <c r="I248">
        <v>4.55E-05</v>
      </c>
      <c r="J248">
        <v>0.00010535</v>
      </c>
    </row>
    <row r="249" spans="1:10">
      <c r="A249">
        <f>HYPERLINK("https://mega.nz/file/aNcRkAjC#kDT-brSqzEs03LxsoAEIt4LYMeHJzBIBd6CcJbr2mX0", "Hieroglyphic Monad")</f>
        <v>0</v>
      </c>
      <c r="B249" t="s">
        <v>44</v>
      </c>
      <c r="C249" t="s">
        <v>729</v>
      </c>
      <c r="D249" t="s">
        <v>2028</v>
      </c>
      <c r="E249" t="s">
        <v>3117</v>
      </c>
      <c r="F249" t="s">
        <v>3131</v>
      </c>
      <c r="G249" s="2" t="s">
        <v>3379</v>
      </c>
      <c r="H249">
        <v>5.985E-05</v>
      </c>
      <c r="I249">
        <v>5.39E-05</v>
      </c>
      <c r="J249">
        <v>0.00011375</v>
      </c>
    </row>
    <row r="250" spans="1:10">
      <c r="A250">
        <f>HYPERLINK("https://mega.nz/file/XZ0FyZBY#ZwPL7zGQbIdNT-ndcP4vQ7jIsxupRkGDhCYXv1f74X4", "Himnos Orficos")</f>
        <v>0</v>
      </c>
      <c r="B250" t="s">
        <v>44</v>
      </c>
      <c r="C250" t="s">
        <v>730</v>
      </c>
      <c r="D250" t="s">
        <v>2029</v>
      </c>
      <c r="E250" t="s">
        <v>3117</v>
      </c>
      <c r="F250" t="s">
        <v>3131</v>
      </c>
      <c r="G250" s="2" t="s">
        <v>3380</v>
      </c>
      <c r="H250">
        <v>6.02E-05</v>
      </c>
      <c r="I250">
        <v>5.11E-05</v>
      </c>
      <c r="J250">
        <v>0.0001113</v>
      </c>
    </row>
    <row r="251" spans="1:10">
      <c r="A251">
        <f>HYPERLINK("https://mega.nz/file/Hd9W1ZiR#QTPPk1pv3SYY9-Szu-OzFGYu1sGcdX1Yu0mHgNiAdD0", "Historias del Libro Negro")</f>
        <v>0</v>
      </c>
      <c r="B251" t="s">
        <v>44</v>
      </c>
      <c r="C251" t="s">
        <v>731</v>
      </c>
      <c r="D251" t="s">
        <v>2030</v>
      </c>
      <c r="E251" t="s">
        <v>3117</v>
      </c>
      <c r="F251" t="s">
        <v>3130</v>
      </c>
      <c r="G251" s="2" t="s">
        <v>3381</v>
      </c>
      <c r="H251">
        <v>5.985E-05</v>
      </c>
      <c r="I251">
        <v>7.21E-05</v>
      </c>
      <c r="J251">
        <v>0.00013195</v>
      </c>
    </row>
    <row r="252" spans="1:10">
      <c r="A252">
        <f>HYPERLINK("https://mega.nz/file/aZcTVCqK#kVvXySX9DfIDGVrddFzlSEYsXCxSHDPqut9cMKI93hs", "Hitler in Argentina")</f>
        <v>0</v>
      </c>
      <c r="B252" t="s">
        <v>44</v>
      </c>
      <c r="C252" t="s">
        <v>732</v>
      </c>
      <c r="D252" t="s">
        <v>2031</v>
      </c>
      <c r="E252" t="s">
        <v>3117</v>
      </c>
      <c r="F252" t="s">
        <v>3131</v>
      </c>
      <c r="G252" s="2" t="s">
        <v>3382</v>
      </c>
      <c r="H252">
        <v>5.88E-05</v>
      </c>
      <c r="I252">
        <v>5.215E-05</v>
      </c>
      <c r="J252">
        <v>0.00011095</v>
      </c>
    </row>
    <row r="253" spans="1:10">
      <c r="A253">
        <f>HYPERLINK("https://mega.nz/file/SUlGSbpZ#AoRfCwvTSJe8bmDT-_Pra6smE81u2q8hDm-uNzBz2ec", "Holy Bible")</f>
        <v>0</v>
      </c>
      <c r="B253" t="s">
        <v>44</v>
      </c>
      <c r="C253" t="s">
        <v>733</v>
      </c>
      <c r="D253" t="s">
        <v>2032</v>
      </c>
      <c r="E253" t="s">
        <v>3117</v>
      </c>
      <c r="F253" t="s">
        <v>3131</v>
      </c>
      <c r="G253" s="2" t="s">
        <v>3383</v>
      </c>
      <c r="H253">
        <v>5.67E-05</v>
      </c>
      <c r="I253">
        <v>5.425E-05</v>
      </c>
      <c r="J253">
        <v>0.00011095</v>
      </c>
    </row>
    <row r="254" spans="1:10">
      <c r="A254">
        <f>HYPERLINK("https://mega.nz/file/GV02AZIR#ewUdwqCutCVlSKlwNX0wdZl_AjbltcAe1SxR5uaiPUc", "Holy Groves in Estonian Religion")</f>
        <v>0</v>
      </c>
      <c r="B254" t="s">
        <v>44</v>
      </c>
      <c r="C254" t="s">
        <v>734</v>
      </c>
      <c r="D254" t="s">
        <v>2033</v>
      </c>
      <c r="E254" t="s">
        <v>3117</v>
      </c>
      <c r="F254" t="s">
        <v>3131</v>
      </c>
      <c r="G254" s="2" t="s">
        <v>3384</v>
      </c>
      <c r="H254">
        <v>6.195E-05</v>
      </c>
      <c r="I254">
        <v>4.97E-05</v>
      </c>
      <c r="J254">
        <v>0.00011165</v>
      </c>
    </row>
    <row r="255" spans="1:10">
      <c r="A255">
        <f>HYPERLINK("https://mega.nz/file/aU0VGDIC#-v2pICn4wNfMqGImhfeeYLrJlmskVdI3lxWKUN_Or14", "Hopi Indian Witchcraft and Healing")</f>
        <v>0</v>
      </c>
      <c r="B255" t="s">
        <v>44</v>
      </c>
      <c r="C255" t="s">
        <v>735</v>
      </c>
      <c r="D255" t="s">
        <v>2034</v>
      </c>
      <c r="E255" t="s">
        <v>3123</v>
      </c>
      <c r="F255" t="s">
        <v>3131</v>
      </c>
      <c r="G255" s="2" t="s">
        <v>3385</v>
      </c>
      <c r="H255">
        <v>6.195E-05</v>
      </c>
      <c r="I255">
        <v>5.39E-05</v>
      </c>
      <c r="J255">
        <v>0.00011585</v>
      </c>
    </row>
    <row r="256" spans="1:10">
      <c r="A256">
        <f>HYPERLINK("https://mega.nz/file/SBM2kAaL#69wg0QEaQKDG3e-KS7alym06nRyBn4speHQA9g_0qqc", "HOW TO CHARGE &amp; FIRE A SIGIL BY PLAYING A VIDEO GAME")</f>
        <v>0</v>
      </c>
      <c r="B256" t="s">
        <v>44</v>
      </c>
      <c r="C256" t="s">
        <v>736</v>
      </c>
      <c r="D256" t="s">
        <v>2035</v>
      </c>
      <c r="E256" t="s">
        <v>3117</v>
      </c>
      <c r="F256" t="s">
        <v>3131</v>
      </c>
      <c r="G256" s="2" t="s">
        <v>3386</v>
      </c>
      <c r="H256">
        <v>7.035E-05</v>
      </c>
      <c r="I256">
        <v>5.25E-05</v>
      </c>
      <c r="J256">
        <v>0.00012285</v>
      </c>
    </row>
    <row r="257" spans="1:10">
      <c r="A257">
        <f>HYPERLINK("https://mega.nz/file/TUcl2Loa#AUtBBNjIMeDq50iKh6W8hK64QSX1forXu0IPOHnwQyU", "Human Body in Southern Slavic Folklore")</f>
        <v>0</v>
      </c>
      <c r="B257" t="s">
        <v>44</v>
      </c>
      <c r="C257" t="s">
        <v>737</v>
      </c>
      <c r="D257" t="s">
        <v>2036</v>
      </c>
      <c r="E257" t="s">
        <v>3117</v>
      </c>
      <c r="F257" t="s">
        <v>3131</v>
      </c>
      <c r="G257" s="2" t="s">
        <v>3387</v>
      </c>
      <c r="H257">
        <v>6.09E-05</v>
      </c>
      <c r="I257">
        <v>5.215E-05</v>
      </c>
      <c r="J257">
        <v>0.00011305</v>
      </c>
    </row>
    <row r="258" spans="1:10">
      <c r="A258">
        <f>HYPERLINK("https://mega.nz/file/CU8iHI5Q#kzfvprwZW1_OUpZcWLof356c29xO9YhcpGHmkG7fZqg", "Hypnosis - Seven Success Secrets of Hypnotism")</f>
        <v>0</v>
      </c>
      <c r="B258" t="s">
        <v>44</v>
      </c>
      <c r="C258" t="s">
        <v>738</v>
      </c>
      <c r="D258" t="s">
        <v>2037</v>
      </c>
      <c r="E258" t="s">
        <v>3117</v>
      </c>
      <c r="F258" t="s">
        <v>3131</v>
      </c>
      <c r="G258" s="2" t="s">
        <v>3388</v>
      </c>
      <c r="H258">
        <v>6.58E-05</v>
      </c>
      <c r="I258">
        <v>5.495E-05</v>
      </c>
      <c r="J258">
        <v>0.00012075</v>
      </c>
    </row>
    <row r="259" spans="1:10">
      <c r="A259">
        <f>HYPERLINK("https://mega.nz/file/fMN3xBKZ#y06O8fAoimny8-MVV-Zbg2mFMViukOXX1uZ__Q8tCd4", "Hypnosis - The Subconscious Mind")</f>
        <v>0</v>
      </c>
      <c r="B259" t="s">
        <v>44</v>
      </c>
      <c r="C259" t="s">
        <v>739</v>
      </c>
      <c r="D259" t="s">
        <v>2038</v>
      </c>
      <c r="E259" t="s">
        <v>3117</v>
      </c>
      <c r="F259" t="s">
        <v>3131</v>
      </c>
      <c r="G259" s="2" t="s">
        <v>3389</v>
      </c>
      <c r="H259">
        <v>6.195E-05</v>
      </c>
      <c r="I259">
        <v>5.18E-05</v>
      </c>
      <c r="J259">
        <v>0.00011375</v>
      </c>
    </row>
    <row r="260" spans="1:10">
      <c r="A260">
        <f>HYPERLINK("https://mega.nz/file/XdlRmb7K#uQQ-o4CXDzCGhwD8ufqaTvZ7urIZB3AQxr2sImUX4mw", "Hypnosis for Beginners")</f>
        <v>0</v>
      </c>
      <c r="B260" t="s">
        <v>44</v>
      </c>
      <c r="C260" t="s">
        <v>740</v>
      </c>
      <c r="D260" t="s">
        <v>2039</v>
      </c>
      <c r="E260" t="s">
        <v>3117</v>
      </c>
      <c r="F260" t="s">
        <v>3131</v>
      </c>
      <c r="G260" s="2" t="s">
        <v>3390</v>
      </c>
      <c r="H260">
        <v>5.88E-05</v>
      </c>
      <c r="I260">
        <v>5.145E-05</v>
      </c>
      <c r="J260">
        <v>0.00011025</v>
      </c>
    </row>
    <row r="261" spans="1:10">
      <c r="A261">
        <f>HYPERLINK("https://mega.nz/file/nNlmgQaL#vLR6TA9oNSiopSuYFs39VZ_w7hQzmijVstYAlTApD30", "Ice Magic Introduction")</f>
        <v>0</v>
      </c>
      <c r="B261" t="s">
        <v>44</v>
      </c>
      <c r="C261" t="s">
        <v>741</v>
      </c>
      <c r="D261" t="s">
        <v>2040</v>
      </c>
      <c r="E261" t="s">
        <v>3117</v>
      </c>
      <c r="F261" t="s">
        <v>3131</v>
      </c>
      <c r="G261" s="2" t="s">
        <v>3391</v>
      </c>
      <c r="H261">
        <v>5.775E-05</v>
      </c>
      <c r="I261">
        <v>4.9E-05</v>
      </c>
      <c r="J261">
        <v>0.00010675</v>
      </c>
    </row>
    <row r="262" spans="1:10">
      <c r="A262">
        <f>HYPERLINK("https://mega.nz/file/aZ1VFSgK#WBD0It3J-KVxWv6XmVJwSwQ5j1N4EXmHoVNuYWUCb98", "Illuminati 666")</f>
        <v>0</v>
      </c>
      <c r="B262" t="s">
        <v>44</v>
      </c>
      <c r="C262" t="s">
        <v>742</v>
      </c>
      <c r="D262" t="s">
        <v>2041</v>
      </c>
      <c r="E262" t="s">
        <v>3117</v>
      </c>
      <c r="F262" t="s">
        <v>3131</v>
      </c>
      <c r="G262" s="2" t="s">
        <v>3392</v>
      </c>
      <c r="H262">
        <v>6.195E-05</v>
      </c>
      <c r="I262">
        <v>6.02E-05</v>
      </c>
      <c r="J262">
        <v>0.00012215</v>
      </c>
    </row>
    <row r="263" spans="1:10">
      <c r="A263">
        <f>HYPERLINK("https://mega.nz/file/qJ8lgQRK#bcaPKz4suO8wS1-qWC8tcDRhDF7VIBKlsgzCwkeJ8HQ", "Induction Charm and the Initiation")</f>
        <v>0</v>
      </c>
      <c r="B263" t="s">
        <v>44</v>
      </c>
      <c r="C263" t="s">
        <v>743</v>
      </c>
      <c r="D263" t="s">
        <v>2042</v>
      </c>
      <c r="E263" t="s">
        <v>3117</v>
      </c>
      <c r="F263" t="s">
        <v>3131</v>
      </c>
      <c r="G263" s="2" t="s">
        <v>3393</v>
      </c>
      <c r="H263">
        <v>6.09E-05</v>
      </c>
      <c r="I263">
        <v>5.215E-05</v>
      </c>
      <c r="J263">
        <v>0.00011305</v>
      </c>
    </row>
    <row r="264" spans="1:10">
      <c r="A264">
        <f>HYPERLINK("https://mega.nz/file/KQdU3QSB#3s-2blYHYjSS7MZwZZtnXWv2xLwL-saN5CVEWRvWfBo", "Informe Los Magos Negros")</f>
        <v>0</v>
      </c>
      <c r="B264" t="s">
        <v>44</v>
      </c>
      <c r="C264" t="s">
        <v>744</v>
      </c>
      <c r="D264" t="s">
        <v>2043</v>
      </c>
      <c r="E264" t="s">
        <v>3117</v>
      </c>
      <c r="F264" t="s">
        <v>3130</v>
      </c>
      <c r="G264" s="2" t="s">
        <v>3394</v>
      </c>
      <c r="H264">
        <v>6.02E-05</v>
      </c>
      <c r="I264">
        <v>6.51E-05</v>
      </c>
      <c r="J264">
        <v>0.0001253</v>
      </c>
    </row>
    <row r="265" spans="1:10">
      <c r="A265">
        <f>HYPERLINK("https://mega.nz/file/CENDCR6I#_g9UpNsy3CdQruaz6HRdX-JAowTSzdDblEhfQR-CrpU", "Iniciacion del Grado Practicus")</f>
        <v>0</v>
      </c>
      <c r="B265" t="s">
        <v>44</v>
      </c>
      <c r="C265" t="s">
        <v>745</v>
      </c>
      <c r="D265" t="s">
        <v>2044</v>
      </c>
      <c r="E265" t="s">
        <v>3117</v>
      </c>
      <c r="F265" t="s">
        <v>3130</v>
      </c>
      <c r="G265" s="2" t="s">
        <v>3395</v>
      </c>
      <c r="H265">
        <v>6.405E-05</v>
      </c>
      <c r="I265">
        <v>7.315E-05</v>
      </c>
      <c r="J265">
        <v>0.0001372</v>
      </c>
    </row>
    <row r="266" spans="1:10">
      <c r="A266">
        <f>HYPERLINK("https://mega.nz/file/nMUCFaYS#7jlMIlLuA3JUxvH3dqLTQsVj9Aywc-mc4-lnNOsZyYQ", "Iniciando El Camino")</f>
        <v>0</v>
      </c>
      <c r="B266" t="s">
        <v>44</v>
      </c>
      <c r="C266" t="s">
        <v>746</v>
      </c>
      <c r="D266" t="s">
        <v>2045</v>
      </c>
      <c r="E266" t="s">
        <v>3117</v>
      </c>
      <c r="F266" t="s">
        <v>3130</v>
      </c>
      <c r="G266" s="2" t="s">
        <v>3396</v>
      </c>
      <c r="H266">
        <v>6.195E-05</v>
      </c>
      <c r="I266">
        <v>6.58E-05</v>
      </c>
      <c r="J266">
        <v>0.00012775</v>
      </c>
    </row>
    <row r="267" spans="1:10">
      <c r="A267">
        <f>HYPERLINK("https://mega.nz/file/yFUT3aCR#5vKjPLkWEVhxhPSvENTd7pHONMGyaSLXwySJgnBdHIE", "Instrucciones Alta Magia")</f>
        <v>0</v>
      </c>
      <c r="B267" t="s">
        <v>44</v>
      </c>
      <c r="C267" t="s">
        <v>747</v>
      </c>
      <c r="D267" t="s">
        <v>2046</v>
      </c>
      <c r="E267" t="s">
        <v>3117</v>
      </c>
      <c r="F267" t="s">
        <v>3130</v>
      </c>
      <c r="G267" s="2" t="s">
        <v>3397</v>
      </c>
      <c r="H267">
        <v>5.67E-05</v>
      </c>
      <c r="I267">
        <v>7.245E-05</v>
      </c>
      <c r="J267">
        <v>0.00012915</v>
      </c>
    </row>
    <row r="268" spans="1:10">
      <c r="A268">
        <f>HYPERLINK("https://mega.nz/file/qYswTCqa#EshbRUH74ciRtlY6vtSDTmowNlGlcP_Zu4YHiY9sO3Y", "intermittens")</f>
        <v>0</v>
      </c>
      <c r="B268" t="s">
        <v>44</v>
      </c>
      <c r="C268" t="s">
        <v>748</v>
      </c>
      <c r="D268" t="s">
        <v>2047</v>
      </c>
      <c r="E268" t="s">
        <v>3117</v>
      </c>
      <c r="F268" t="s">
        <v>3131</v>
      </c>
      <c r="G268" s="2" t="s">
        <v>3398</v>
      </c>
      <c r="H268">
        <v>5.985E-05</v>
      </c>
      <c r="I268">
        <v>5.11E-05</v>
      </c>
      <c r="J268">
        <v>0.00011095</v>
      </c>
    </row>
    <row r="269" spans="1:10">
      <c r="A269">
        <f>HYPERLINK("https://mega.nz/file/6ctlFYCK#Enqniw3_UhVpyfDYZv8cFnql61TWIgQamOQ_sIBMrNk", "intermittens vol 2")</f>
        <v>0</v>
      </c>
      <c r="B269" t="s">
        <v>44</v>
      </c>
      <c r="C269" t="s">
        <v>749</v>
      </c>
      <c r="D269" t="s">
        <v>2048</v>
      </c>
      <c r="E269" t="s">
        <v>3117</v>
      </c>
      <c r="F269" t="s">
        <v>3131</v>
      </c>
      <c r="G269" s="2" t="s">
        <v>3399</v>
      </c>
      <c r="H269">
        <v>6.09E-05</v>
      </c>
      <c r="I269">
        <v>5.215E-05</v>
      </c>
      <c r="J269">
        <v>0.00011305</v>
      </c>
    </row>
    <row r="270" spans="1:10">
      <c r="A270">
        <f>HYPERLINK("https://mega.nz/file/iAlhET4A#v76StqW6pVnuJFf2pz1ldpXrPrcxop8H0w_SjApAPlw", "intermittens vol 3")</f>
        <v>0</v>
      </c>
      <c r="B270" t="s">
        <v>44</v>
      </c>
      <c r="C270" t="s">
        <v>750</v>
      </c>
      <c r="D270" t="s">
        <v>2049</v>
      </c>
      <c r="E270" t="s">
        <v>3117</v>
      </c>
      <c r="F270" t="s">
        <v>3131</v>
      </c>
      <c r="G270" s="2" t="s">
        <v>3400</v>
      </c>
      <c r="H270">
        <v>6.09E-05</v>
      </c>
      <c r="I270">
        <v>4.935E-05</v>
      </c>
      <c r="J270">
        <v>0.00011025</v>
      </c>
    </row>
    <row r="271" spans="1:10">
      <c r="A271">
        <f>HYPERLINK("https://mega.nz/file/KAF2TQLT#IGUM_afZOMxQCRLNEqLsfHLx_fbuQ7qC9mFHW-7Z9kQ", "intermittens vol 5")</f>
        <v>0</v>
      </c>
      <c r="B271" t="s">
        <v>44</v>
      </c>
      <c r="C271" t="s">
        <v>751</v>
      </c>
      <c r="D271" t="s">
        <v>2050</v>
      </c>
      <c r="E271" t="s">
        <v>3117</v>
      </c>
      <c r="F271" t="s">
        <v>3131</v>
      </c>
      <c r="G271" s="2" t="s">
        <v>3401</v>
      </c>
      <c r="H271">
        <v>6.09E-05</v>
      </c>
      <c r="I271">
        <v>5.425E-05</v>
      </c>
      <c r="J271">
        <v>0.00011515</v>
      </c>
    </row>
    <row r="272" spans="1:10">
      <c r="A272">
        <f>HYPERLINK("https://mega.nz/file/WBE2jQ6C#w5U87o2-_KZQp4V7r6We_e0qPkxY3l6wBnmexuFzbLQ", "intermittens vol 6")</f>
        <v>0</v>
      </c>
      <c r="B272" t="s">
        <v>44</v>
      </c>
      <c r="C272" t="s">
        <v>752</v>
      </c>
      <c r="D272" t="s">
        <v>2051</v>
      </c>
      <c r="E272" t="s">
        <v>3117</v>
      </c>
      <c r="F272" t="s">
        <v>3131</v>
      </c>
      <c r="G272" s="2" t="s">
        <v>3402</v>
      </c>
      <c r="H272">
        <v>6.09E-05</v>
      </c>
      <c r="I272">
        <v>5.355E-05</v>
      </c>
      <c r="J272">
        <v>0.00011445</v>
      </c>
    </row>
    <row r="273" spans="1:10">
      <c r="A273">
        <f>HYPERLINK("https://mega.nz/file/LdtxGJZa#FoPU4AVrZ4n5rW7CDuaeVmkVJOIpMlWXHb-YJO0IXnk", "intermittens vol 7")</f>
        <v>0</v>
      </c>
      <c r="B273" t="s">
        <v>44</v>
      </c>
      <c r="C273" t="s">
        <v>753</v>
      </c>
      <c r="D273" t="s">
        <v>2052</v>
      </c>
      <c r="E273" t="s">
        <v>3117</v>
      </c>
      <c r="F273" t="s">
        <v>3131</v>
      </c>
      <c r="G273" s="2" t="s">
        <v>3403</v>
      </c>
      <c r="H273">
        <v>6.09E-05</v>
      </c>
      <c r="I273">
        <v>4.515E-05</v>
      </c>
      <c r="J273">
        <v>0.00010605</v>
      </c>
    </row>
    <row r="274" spans="1:10">
      <c r="A274">
        <f>HYPERLINK("https://mega.nz/file/jIVkzBSA#Zzp3Fk6nmYw9udGvDeSsi3g9r4LdyXILy3VYLESIOZ0", "intermittens vol 8")</f>
        <v>0</v>
      </c>
      <c r="B274" t="s">
        <v>44</v>
      </c>
      <c r="C274" t="s">
        <v>754</v>
      </c>
      <c r="D274" t="s">
        <v>2053</v>
      </c>
      <c r="E274" t="s">
        <v>3117</v>
      </c>
      <c r="F274" t="s">
        <v>3131</v>
      </c>
      <c r="G274" s="2" t="s">
        <v>3404</v>
      </c>
      <c r="H274">
        <v>6.09E-05</v>
      </c>
      <c r="I274">
        <v>5.145E-05</v>
      </c>
      <c r="J274">
        <v>0.00011235</v>
      </c>
    </row>
    <row r="275" spans="1:10">
      <c r="A275">
        <f>HYPERLINK("https://mega.nz/file/PAkCgKIZ#y6Oqy9NdIIA8AsFZs6DmkoGtBToKSRXg-2zvsozQuFQ", "Interview with Andrew Chumbley")</f>
        <v>0</v>
      </c>
      <c r="B275" t="s">
        <v>44</v>
      </c>
      <c r="C275" t="s">
        <v>755</v>
      </c>
      <c r="D275" t="s">
        <v>2054</v>
      </c>
      <c r="E275" t="s">
        <v>3117</v>
      </c>
      <c r="F275" t="s">
        <v>3131</v>
      </c>
      <c r="G275" s="2" t="s">
        <v>3405</v>
      </c>
      <c r="H275">
        <v>5.6E-05</v>
      </c>
      <c r="I275">
        <v>6.195E-05</v>
      </c>
      <c r="J275">
        <v>0.00011795</v>
      </c>
    </row>
    <row r="276" spans="1:10">
      <c r="A276">
        <f>HYPERLINK("https://mega.nz/file/2QdABQrI#GlBCSISJc5L5dUWVLKcIBXCP1QT3mJWdIewZbvv--i4", "Introduccion a la cabala")</f>
        <v>0</v>
      </c>
      <c r="B276" t="s">
        <v>44</v>
      </c>
      <c r="C276" t="s">
        <v>756</v>
      </c>
      <c r="D276" t="s">
        <v>2055</v>
      </c>
      <c r="E276" t="s">
        <v>3118</v>
      </c>
      <c r="F276" t="s">
        <v>3130</v>
      </c>
      <c r="G276" s="2" t="s">
        <v>3406</v>
      </c>
      <c r="H276">
        <v>6.23E-05</v>
      </c>
      <c r="I276">
        <v>5.775E-05</v>
      </c>
      <c r="J276">
        <v>0.00012005</v>
      </c>
    </row>
    <row r="277" spans="1:10">
      <c r="A277">
        <f>HYPERLINK("https://mega.nz/file/aItyTYDA#W3MSDtsGcrGFxQ7GB9LeQ888IqzP-g2-9qEZEjfGw6c", "Introduction To Magic")</f>
        <v>0</v>
      </c>
      <c r="B277" t="s">
        <v>44</v>
      </c>
      <c r="C277" t="s">
        <v>757</v>
      </c>
      <c r="D277" t="s">
        <v>2056</v>
      </c>
      <c r="E277" t="s">
        <v>3117</v>
      </c>
      <c r="F277" t="s">
        <v>3131</v>
      </c>
      <c r="G277" s="2" t="s">
        <v>3407</v>
      </c>
      <c r="H277">
        <v>5.845E-05</v>
      </c>
      <c r="I277">
        <v>5.11E-05</v>
      </c>
      <c r="J277">
        <v>0.00010955</v>
      </c>
    </row>
    <row r="278" spans="1:10">
      <c r="A278">
        <f>HYPERLINK("https://mega.nz/file/nEtzHYjY#XtCrNnnp6YNNw6EKttaK4f7_loal_aRnbqUjjEzxknQ", "Introduction to the Seven Faces of Darkness")</f>
        <v>0</v>
      </c>
      <c r="B278" t="s">
        <v>44</v>
      </c>
      <c r="C278" t="s">
        <v>758</v>
      </c>
      <c r="D278" t="s">
        <v>2057</v>
      </c>
      <c r="E278" t="s">
        <v>3117</v>
      </c>
      <c r="F278" t="s">
        <v>3131</v>
      </c>
      <c r="G278" s="2" t="s">
        <v>3408</v>
      </c>
      <c r="H278">
        <v>6.195E-05</v>
      </c>
      <c r="I278">
        <v>4.97E-05</v>
      </c>
      <c r="J278">
        <v>0.00011165</v>
      </c>
    </row>
    <row r="279" spans="1:10">
      <c r="A279">
        <f>HYPERLINK("https://mega.nz/file/acFzhBqI#NatAlW1u6VQt7Fk0T_jVqeTZsYpM5hmwYWn2BqZj0_c", "Invocation of the Adversary")</f>
        <v>0</v>
      </c>
      <c r="B279" t="s">
        <v>44</v>
      </c>
      <c r="C279" t="s">
        <v>759</v>
      </c>
      <c r="D279" t="s">
        <v>2058</v>
      </c>
      <c r="E279" t="s">
        <v>3117</v>
      </c>
      <c r="F279" t="s">
        <v>3131</v>
      </c>
      <c r="G279" s="2" t="s">
        <v>3409</v>
      </c>
      <c r="H279">
        <v>5.985E-05</v>
      </c>
      <c r="I279">
        <v>5.46E-05</v>
      </c>
      <c r="J279">
        <v>0.00011445</v>
      </c>
    </row>
    <row r="280" spans="1:10">
      <c r="A280">
        <f>HYPERLINK("https://mega.nz/file/ad0BAJ5T#vc65Cbtr-_NvrKl47wL4hQkVzj6csZZlyB9N_rariSY", "Irish Witchcraft and Demonology")</f>
        <v>0</v>
      </c>
      <c r="B280" t="s">
        <v>44</v>
      </c>
      <c r="C280" t="s">
        <v>760</v>
      </c>
      <c r="D280" t="s">
        <v>2059</v>
      </c>
      <c r="E280" t="s">
        <v>3123</v>
      </c>
      <c r="F280" t="s">
        <v>3131</v>
      </c>
      <c r="G280" s="2" t="s">
        <v>3410</v>
      </c>
      <c r="H280">
        <v>6.09E-05</v>
      </c>
      <c r="I280">
        <v>5.495E-05</v>
      </c>
      <c r="J280">
        <v>0.00011585</v>
      </c>
    </row>
    <row r="281" spans="1:10">
      <c r="A281">
        <f>HYPERLINK("https://mega.nz/file/jR91wKTA#YfUi9S_F0TYCrBUQa1g74RWzigWI63q1WrTkxdd8KFA", "Is Magic Possible Within A Quantum Mechanical Framework")</f>
        <v>0</v>
      </c>
      <c r="B281" t="s">
        <v>44</v>
      </c>
      <c r="C281" t="s">
        <v>761</v>
      </c>
      <c r="D281" t="s">
        <v>2060</v>
      </c>
      <c r="E281" t="s">
        <v>3117</v>
      </c>
      <c r="F281" t="s">
        <v>3131</v>
      </c>
      <c r="G281" s="2" t="s">
        <v>3411</v>
      </c>
      <c r="H281">
        <v>6.3E-05</v>
      </c>
      <c r="I281">
        <v>5.705E-05</v>
      </c>
      <c r="J281">
        <v>0.00012005</v>
      </c>
    </row>
    <row r="282" spans="1:10">
      <c r="A282">
        <f>HYPERLINK("https://mega.nz/file/LZdllLQA#yarZywfIO5oV1oSk9AUyPylknJ8X0UAnmYyUg8A-73k", "Ishtar - Mesopotamian Holy Harlot")</f>
        <v>0</v>
      </c>
      <c r="B282" t="s">
        <v>44</v>
      </c>
      <c r="C282" t="s">
        <v>762</v>
      </c>
      <c r="D282" t="s">
        <v>2061</v>
      </c>
      <c r="E282" t="s">
        <v>3117</v>
      </c>
      <c r="F282" t="s">
        <v>3131</v>
      </c>
      <c r="G282" s="2" t="s">
        <v>3412</v>
      </c>
      <c r="H282">
        <v>6.405E-05</v>
      </c>
      <c r="I282">
        <v>5.53E-05</v>
      </c>
      <c r="J282">
        <v>0.00011935</v>
      </c>
    </row>
    <row r="283" spans="1:10">
      <c r="A283">
        <f>HYPERLINK("https://mega.nz/file/KYtk1JIA#LBQGcm7inlmn-8Kjc6RUZvGrn-LOfoNhB4olvmtdVAU", "Jerarquia Completa de los Espiritus Infernales")</f>
        <v>0</v>
      </c>
      <c r="B283" t="s">
        <v>44</v>
      </c>
      <c r="C283" t="s">
        <v>763</v>
      </c>
      <c r="D283" t="s">
        <v>2062</v>
      </c>
      <c r="E283" t="s">
        <v>3127</v>
      </c>
      <c r="F283" t="s">
        <v>3130</v>
      </c>
      <c r="G283" s="2" t="s">
        <v>3413</v>
      </c>
      <c r="H283">
        <v>6.545000000000001E-05</v>
      </c>
      <c r="I283">
        <v>7.14E-05</v>
      </c>
      <c r="J283">
        <v>0.00013685</v>
      </c>
    </row>
    <row r="284" spans="1:10">
      <c r="A284">
        <f>HYPERLINK("https://mega.nz/file/eIsyGDrT#BiBnQrFOCrxvD7PcBPX4YpgtVPCMwXx47rMq0zyVpm0", "Jewish Supremacism")</f>
        <v>0</v>
      </c>
      <c r="B284" t="s">
        <v>44</v>
      </c>
      <c r="C284" t="s">
        <v>764</v>
      </c>
      <c r="D284" t="s">
        <v>2063</v>
      </c>
      <c r="E284" t="s">
        <v>3117</v>
      </c>
      <c r="F284" t="s">
        <v>3131</v>
      </c>
      <c r="G284" s="2" t="s">
        <v>3414</v>
      </c>
      <c r="H284">
        <v>5.88E-05</v>
      </c>
      <c r="I284">
        <v>5.075E-05</v>
      </c>
      <c r="J284">
        <v>0.00010955</v>
      </c>
    </row>
    <row r="285" spans="1:10">
      <c r="A285">
        <f>HYPERLINK("https://mega.nz/file/3ZUyzIjA#8fwRHiWIADMW3i9V5xbEdBY6zBCeghkA7Pi5-QfPliY", "Julius Evola and the UR Group")</f>
        <v>0</v>
      </c>
      <c r="B285" t="s">
        <v>44</v>
      </c>
      <c r="C285" t="s">
        <v>765</v>
      </c>
      <c r="D285" t="s">
        <v>2064</v>
      </c>
      <c r="E285" t="s">
        <v>3117</v>
      </c>
      <c r="F285" t="s">
        <v>3131</v>
      </c>
      <c r="G285" s="2" t="s">
        <v>3415</v>
      </c>
      <c r="H285">
        <v>6.3E-05</v>
      </c>
      <c r="I285">
        <v>5.985E-05</v>
      </c>
      <c r="J285">
        <v>0.00012285</v>
      </c>
    </row>
    <row r="286" spans="1:10">
      <c r="A286">
        <f>HYPERLINK("https://mega.nz/file/LUcCEYBa#2Yzy2psBhXYhQ_w0KeHPNh8tWAuAd8dC6fmNlI2kPpI", "Ketab-e Siyah")</f>
        <v>0</v>
      </c>
      <c r="B286" t="s">
        <v>44</v>
      </c>
      <c r="C286" t="s">
        <v>766</v>
      </c>
      <c r="D286" t="s">
        <v>2065</v>
      </c>
      <c r="E286" t="s">
        <v>3117</v>
      </c>
      <c r="F286" t="s">
        <v>3131</v>
      </c>
      <c r="G286" s="2" t="s">
        <v>3416</v>
      </c>
      <c r="H286">
        <v>6.09E-05</v>
      </c>
      <c r="I286">
        <v>5.285E-05</v>
      </c>
      <c r="J286">
        <v>0.00011375</v>
      </c>
    </row>
    <row r="287" spans="1:10">
      <c r="A287">
        <f>HYPERLINK("https://mega.nz/file/Cd8FlC7T#kiVKfCFVfrT0iIr6Iorn-9ZtTAoj-9hzmuRZPzLwT6Q", "Key Mysteries")</f>
        <v>0</v>
      </c>
      <c r="B287" t="s">
        <v>44</v>
      </c>
      <c r="C287" t="s">
        <v>767</v>
      </c>
      <c r="D287" t="s">
        <v>2066</v>
      </c>
      <c r="E287" t="s">
        <v>3117</v>
      </c>
      <c r="F287" t="s">
        <v>3131</v>
      </c>
      <c r="G287" s="2" t="s">
        <v>3417</v>
      </c>
      <c r="H287">
        <v>5.67E-05</v>
      </c>
      <c r="I287">
        <v>5.005E-05</v>
      </c>
      <c r="J287">
        <v>0.00010675</v>
      </c>
    </row>
    <row r="288" spans="1:10">
      <c r="A288">
        <f>HYPERLINK("https://mega.nz/file/3cUzwaDC#4ctAlOhrIBnXqRWHt2bgXs5ahE9gqK7AHNph8wHArZk", "Kundalini - A Personal Approach")</f>
        <v>0</v>
      </c>
      <c r="B288" t="s">
        <v>44</v>
      </c>
      <c r="C288" t="s">
        <v>768</v>
      </c>
      <c r="D288" t="s">
        <v>2067</v>
      </c>
      <c r="E288" t="s">
        <v>3117</v>
      </c>
      <c r="F288" t="s">
        <v>3131</v>
      </c>
      <c r="G288" s="2" t="s">
        <v>3418</v>
      </c>
      <c r="H288">
        <v>6.09E-05</v>
      </c>
      <c r="I288">
        <v>5.005E-05</v>
      </c>
      <c r="J288">
        <v>0.00011095</v>
      </c>
    </row>
    <row r="289" spans="1:10">
      <c r="A289">
        <f>HYPERLINK("https://mega.nz/file/SU1gzLIT#LCqqqKanSoF6UGrDAE9FiPiD3Nr1KDjZ8MGYwu14rho", "Kundalini Breathing Exercise")</f>
        <v>0</v>
      </c>
      <c r="B289" t="s">
        <v>44</v>
      </c>
      <c r="C289" t="s">
        <v>769</v>
      </c>
      <c r="D289" t="s">
        <v>2068</v>
      </c>
      <c r="E289" t="s">
        <v>3117</v>
      </c>
      <c r="F289" t="s">
        <v>3131</v>
      </c>
      <c r="G289" s="2" t="s">
        <v>3419</v>
      </c>
      <c r="H289">
        <v>5.88E-05</v>
      </c>
      <c r="I289">
        <v>4.725E-05</v>
      </c>
      <c r="J289">
        <v>0.00010605</v>
      </c>
    </row>
    <row r="290" spans="1:10">
      <c r="A290">
        <f>HYPERLINK("https://mega.nz/file/uVs2XTxR#skseBQPYbT_Irk2vBowkENXyEySlD5jH8_38qQR86oo", "Kundalini Yoga")</f>
        <v>0</v>
      </c>
      <c r="B290" t="s">
        <v>44</v>
      </c>
      <c r="C290" t="s">
        <v>770</v>
      </c>
      <c r="D290" t="s">
        <v>2069</v>
      </c>
      <c r="E290" t="s">
        <v>3119</v>
      </c>
      <c r="F290" t="s">
        <v>3131</v>
      </c>
      <c r="G290" s="2" t="s">
        <v>3420</v>
      </c>
      <c r="H290">
        <v>5.775E-05</v>
      </c>
      <c r="I290">
        <v>4.55E-05</v>
      </c>
      <c r="J290">
        <v>0.00010325</v>
      </c>
    </row>
    <row r="291" spans="1:10">
      <c r="A291">
        <f>HYPERLINK("https://mega.nz/file/GYMWyY6D#FPysX1RtPnyrl-w6acnnBsrhm_R1YbzmJNLGgh6wrqY", "La Biblia De Las Brujas 2 El Camino De Las Brujas")</f>
        <v>0</v>
      </c>
      <c r="B291" t="s">
        <v>44</v>
      </c>
      <c r="C291" t="s">
        <v>771</v>
      </c>
      <c r="D291" t="s">
        <v>2070</v>
      </c>
      <c r="E291" t="s">
        <v>3123</v>
      </c>
      <c r="F291" t="s">
        <v>3130</v>
      </c>
      <c r="G291" s="2" t="s">
        <v>3421</v>
      </c>
      <c r="H291">
        <v>6.93E-05</v>
      </c>
      <c r="I291">
        <v>6.965E-05</v>
      </c>
      <c r="J291">
        <v>0.00013895</v>
      </c>
    </row>
    <row r="292" spans="1:10">
      <c r="A292">
        <f>HYPERLINK("https://mega.nz/file/eI8H1SCI#qtCEEKCZwkmO34OmW6Xg9tXZ3kVp4mmX67nM-OerG7o", "La Biblia Satanica")</f>
        <v>0</v>
      </c>
      <c r="B292" t="s">
        <v>44</v>
      </c>
      <c r="C292" t="s">
        <v>772</v>
      </c>
      <c r="D292" t="s">
        <v>2071</v>
      </c>
      <c r="E292" t="s">
        <v>3117</v>
      </c>
      <c r="F292" t="s">
        <v>3130</v>
      </c>
      <c r="G292" s="2" t="s">
        <v>3422</v>
      </c>
      <c r="H292">
        <v>5.88E-05</v>
      </c>
      <c r="I292">
        <v>6.895E-05</v>
      </c>
      <c r="J292">
        <v>0.00012775</v>
      </c>
    </row>
    <row r="293" spans="1:10">
      <c r="A293">
        <f>HYPERLINK("https://mega.nz/file/ecFFQD7B#q1E2VVo6Xh97CGz9jceIBkqDdtDQ0fdWiCqqJwwaMXQ", "La Casa De La Noche")</f>
        <v>0</v>
      </c>
      <c r="B293" t="s">
        <v>44</v>
      </c>
      <c r="C293" t="s">
        <v>773</v>
      </c>
      <c r="D293" t="s">
        <v>2072</v>
      </c>
      <c r="E293" t="s">
        <v>3117</v>
      </c>
      <c r="F293" t="s">
        <v>3130</v>
      </c>
      <c r="G293" s="2" t="s">
        <v>3423</v>
      </c>
      <c r="H293">
        <v>6.09E-05</v>
      </c>
      <c r="I293">
        <v>7.735E-05</v>
      </c>
      <c r="J293">
        <v>0.00013825</v>
      </c>
    </row>
    <row r="294" spans="1:10">
      <c r="A294">
        <f>HYPERLINK("https://mega.nz/file/KJUGxbhR#Zw_jHt38kVZRtek_BkwIXvWwuEGQdOXs6qIjm93MvmA", "La Ciudad Inca De Machu Picchu")</f>
        <v>0</v>
      </c>
      <c r="B294" t="s">
        <v>44</v>
      </c>
      <c r="C294" t="s">
        <v>774</v>
      </c>
      <c r="D294" t="s">
        <v>2073</v>
      </c>
      <c r="E294" t="s">
        <v>3117</v>
      </c>
      <c r="F294" t="s">
        <v>3130</v>
      </c>
      <c r="G294" s="2" t="s">
        <v>3424</v>
      </c>
      <c r="H294">
        <v>6.65E-05</v>
      </c>
      <c r="I294">
        <v>6.825000000000001E-05</v>
      </c>
      <c r="J294">
        <v>0.00013475</v>
      </c>
    </row>
    <row r="295" spans="1:10">
      <c r="A295">
        <f>HYPERLINK("https://mega.nz/file/TBtF3ajJ#NCpTq4xp60wxo5UaEZE0CveWmb4l8ieMJvegBVB32FM", "La Corte de Lucifer")</f>
        <v>0</v>
      </c>
      <c r="B295" t="s">
        <v>44</v>
      </c>
      <c r="C295" t="s">
        <v>775</v>
      </c>
      <c r="D295" t="s">
        <v>2074</v>
      </c>
      <c r="E295" t="s">
        <v>3127</v>
      </c>
      <c r="F295" t="s">
        <v>3130</v>
      </c>
      <c r="G295" s="2" t="s">
        <v>3425</v>
      </c>
      <c r="H295">
        <v>5.88E-05</v>
      </c>
      <c r="I295">
        <v>7.105000000000001E-05</v>
      </c>
      <c r="J295">
        <v>0.00012985</v>
      </c>
    </row>
    <row r="296" spans="1:10">
      <c r="A296">
        <f>HYPERLINK("https://mega.nz/file/yEtnmaha#fPXAoB5nkj9AOMAGVkdGDIP4wBrvzqzSowi1MXHnp00", "La gallina negra")</f>
        <v>0</v>
      </c>
      <c r="B296" t="s">
        <v>44</v>
      </c>
      <c r="C296" t="s">
        <v>776</v>
      </c>
      <c r="D296" t="s">
        <v>2075</v>
      </c>
      <c r="E296" t="s">
        <v>3117</v>
      </c>
      <c r="F296" t="s">
        <v>3130</v>
      </c>
      <c r="G296" s="2" t="s">
        <v>3426</v>
      </c>
      <c r="H296">
        <v>6.195E-05</v>
      </c>
      <c r="I296">
        <v>6.055E-05</v>
      </c>
      <c r="J296">
        <v>0.0001225</v>
      </c>
    </row>
    <row r="297" spans="1:10">
      <c r="A297">
        <f>HYPERLINK("https://mega.nz/file/3R10HYhL#48AIvV572UVRTaYRuxvxzKy0WHCdTIGeUSy8hipb3cc", "La Guerra De Troya")</f>
        <v>0</v>
      </c>
      <c r="B297" t="s">
        <v>44</v>
      </c>
      <c r="C297" t="s">
        <v>777</v>
      </c>
      <c r="D297" t="s">
        <v>2076</v>
      </c>
      <c r="E297" t="s">
        <v>3117</v>
      </c>
      <c r="F297" t="s">
        <v>3130</v>
      </c>
      <c r="G297" s="2" t="s">
        <v>3427</v>
      </c>
      <c r="H297">
        <v>6.545000000000001E-05</v>
      </c>
      <c r="I297">
        <v>7.7E-05</v>
      </c>
      <c r="J297">
        <v>0.00014245</v>
      </c>
    </row>
    <row r="298" spans="1:10">
      <c r="A298">
        <f>HYPERLINK("https://mega.nz/file/uAc0hQxC#S2JOgyg7dKIvP5aOQkhyqGoRr2O3Siev3L3iY9JQauE", "La Iniciacion - a todos los cansados de aprender que desean saber")</f>
        <v>0</v>
      </c>
      <c r="B298" t="s">
        <v>44</v>
      </c>
      <c r="C298" t="s">
        <v>778</v>
      </c>
      <c r="D298" t="s">
        <v>2077</v>
      </c>
      <c r="E298" t="s">
        <v>3117</v>
      </c>
      <c r="F298" t="s">
        <v>3130</v>
      </c>
      <c r="G298" s="2" t="s">
        <v>3428</v>
      </c>
      <c r="H298">
        <v>7.07E-05</v>
      </c>
      <c r="I298">
        <v>7.385000000000001E-05</v>
      </c>
      <c r="J298">
        <v>0.00014455</v>
      </c>
    </row>
    <row r="299" spans="1:10">
      <c r="A299">
        <f>HYPERLINK("https://mega.nz/file/jEVnGCoA#fm3wX924d87uZh4LtGeUCBHmd_F_jQM_Vem9IHItyQs", "La Leyenda Del Rey Arturo")</f>
        <v>0</v>
      </c>
      <c r="B299" t="s">
        <v>44</v>
      </c>
      <c r="C299" t="s">
        <v>779</v>
      </c>
      <c r="D299" t="s">
        <v>2078</v>
      </c>
      <c r="E299" t="s">
        <v>3117</v>
      </c>
      <c r="F299" t="s">
        <v>3130</v>
      </c>
      <c r="G299" s="2" t="s">
        <v>3429</v>
      </c>
      <c r="H299">
        <v>6.65E-05</v>
      </c>
      <c r="I299">
        <v>7.385000000000001E-05</v>
      </c>
      <c r="J299">
        <v>0.00014035</v>
      </c>
    </row>
    <row r="300" spans="1:10">
      <c r="A300">
        <f>HYPERLINK("https://mega.nz/file/nN02xYIR#u1iCr1aozz9_yfh5A3OGCZQXbnovNpDv2W7GUmNQCSk", "La Magia de Arbatel")</f>
        <v>0</v>
      </c>
      <c r="B300" t="s">
        <v>44</v>
      </c>
      <c r="C300" t="s">
        <v>780</v>
      </c>
      <c r="D300" t="s">
        <v>2079</v>
      </c>
      <c r="E300" t="s">
        <v>3117</v>
      </c>
      <c r="F300" t="s">
        <v>3130</v>
      </c>
      <c r="G300" s="2" t="s">
        <v>3430</v>
      </c>
      <c r="H300">
        <v>6.195E-05</v>
      </c>
      <c r="I300">
        <v>7.35E-05</v>
      </c>
      <c r="J300">
        <v>0.00013545</v>
      </c>
    </row>
    <row r="301" spans="1:10">
      <c r="A301">
        <f>HYPERLINK("https://mega.nz/file/CMMlWSDJ#G8gIuZ7PXmTBoxWUm1b2bjyDFtb687x0q5Vo627VjIE", "la magia de las velas")</f>
        <v>0</v>
      </c>
      <c r="B301" t="s">
        <v>44</v>
      </c>
      <c r="C301" t="s">
        <v>781</v>
      </c>
      <c r="D301" t="s">
        <v>2080</v>
      </c>
      <c r="E301" t="s">
        <v>3117</v>
      </c>
      <c r="F301" t="s">
        <v>3130</v>
      </c>
      <c r="G301" s="2" t="s">
        <v>3431</v>
      </c>
      <c r="H301">
        <v>6.09E-05</v>
      </c>
      <c r="I301">
        <v>7.21E-05</v>
      </c>
      <c r="J301">
        <v>0.000133</v>
      </c>
    </row>
    <row r="302" spans="1:10">
      <c r="A302">
        <f>HYPERLINK("https://mega.nz/file/mFNR3BwJ#KOey9Lq0Gi7gfIkQ5oNbJ5lWl2OHJEexIuSSp1d7vvY", "La magia del templo")</f>
        <v>0</v>
      </c>
      <c r="B302" t="s">
        <v>44</v>
      </c>
      <c r="C302" t="s">
        <v>782</v>
      </c>
      <c r="D302" t="s">
        <v>2081</v>
      </c>
      <c r="E302" t="s">
        <v>3117</v>
      </c>
      <c r="F302" t="s">
        <v>3130</v>
      </c>
      <c r="G302" s="2" t="s">
        <v>3432</v>
      </c>
      <c r="H302">
        <v>5.88E-05</v>
      </c>
      <c r="I302">
        <v>6.825000000000001E-05</v>
      </c>
      <c r="J302">
        <v>0.00012705</v>
      </c>
    </row>
    <row r="303" spans="1:10">
      <c r="A303">
        <f>HYPERLINK("https://mega.nz/file/rEFAHALI#LCV5jEihAjRmmQOzUvy-Rjr0q5KNP5Av3Z8nq16jXJc", "La Magia Sagrada de Abramelin")</f>
        <v>0</v>
      </c>
      <c r="B303" t="s">
        <v>44</v>
      </c>
      <c r="C303" t="s">
        <v>783</v>
      </c>
      <c r="D303" t="s">
        <v>2082</v>
      </c>
      <c r="E303" t="s">
        <v>3117</v>
      </c>
      <c r="F303" t="s">
        <v>3130</v>
      </c>
      <c r="G303" s="2" t="s">
        <v>3433</v>
      </c>
      <c r="H303">
        <v>6.3E-05</v>
      </c>
      <c r="I303">
        <v>6.895E-05</v>
      </c>
      <c r="J303">
        <v>0.00013195</v>
      </c>
    </row>
    <row r="304" spans="1:10">
      <c r="A304">
        <f>HYPERLINK("https://mega.nz/file/yQtQELzA#n7V-wEFUJig-zlyI2sjI68LmIWOut7pyEQnvzMZtFgQ", "La practica de la evocacion magica")</f>
        <v>0</v>
      </c>
      <c r="B304" t="s">
        <v>44</v>
      </c>
      <c r="C304" t="s">
        <v>784</v>
      </c>
      <c r="D304" t="s">
        <v>2083</v>
      </c>
      <c r="E304" t="s">
        <v>3117</v>
      </c>
      <c r="F304" t="s">
        <v>3130</v>
      </c>
      <c r="G304" s="2" t="s">
        <v>3434</v>
      </c>
      <c r="H304">
        <v>6.3E-05</v>
      </c>
      <c r="I304">
        <v>7.035E-05</v>
      </c>
      <c r="J304">
        <v>0.00013335</v>
      </c>
    </row>
    <row r="305" spans="1:10">
      <c r="A305">
        <f>HYPERLINK("https://mega.nz/file/SNsjTSwR#PQ1Yp21PZIyWPBQHzPZThYpZoB5Y_UQDaW7n-A8jcZU", "La Qabalah Desvelada")</f>
        <v>0</v>
      </c>
      <c r="B305" t="s">
        <v>44</v>
      </c>
      <c r="C305" t="s">
        <v>785</v>
      </c>
      <c r="D305" t="s">
        <v>2084</v>
      </c>
      <c r="E305" t="s">
        <v>3118</v>
      </c>
      <c r="F305" t="s">
        <v>3130</v>
      </c>
      <c r="G305" s="2" t="s">
        <v>3435</v>
      </c>
      <c r="H305">
        <v>6.195E-05</v>
      </c>
      <c r="I305">
        <v>7.21E-05</v>
      </c>
      <c r="J305">
        <v>0.00013405</v>
      </c>
    </row>
    <row r="306" spans="1:10">
      <c r="A306">
        <f>HYPERLINK("https://mega.nz/file/rd1D2Z4a#AQr9PwWrarifcvvkGjzYOLM-xPkOXuWQuZq7NYgWPJs", "La Sabana Santa Y Otros Misterios Cristianos")</f>
        <v>0</v>
      </c>
      <c r="B306" t="s">
        <v>44</v>
      </c>
      <c r="C306" t="s">
        <v>786</v>
      </c>
      <c r="D306" t="s">
        <v>2085</v>
      </c>
      <c r="E306" t="s">
        <v>3117</v>
      </c>
      <c r="F306" t="s">
        <v>3130</v>
      </c>
      <c r="G306" s="2" t="s">
        <v>3436</v>
      </c>
      <c r="H306">
        <v>7.07E-05</v>
      </c>
      <c r="I306">
        <v>7.245E-05</v>
      </c>
      <c r="J306">
        <v>0.00014315</v>
      </c>
    </row>
    <row r="307" spans="1:10">
      <c r="A307">
        <f>HYPERLINK("https://mega.nz/file/fV93jLaB#dBstsYwIwTHzxBApmr_AQMVa1J7gFBjTpttZ7P6qmC0", "La sagrada biblia version lucifer")</f>
        <v>0</v>
      </c>
      <c r="B307" t="s">
        <v>44</v>
      </c>
      <c r="C307" t="s">
        <v>787</v>
      </c>
      <c r="D307" t="s">
        <v>2086</v>
      </c>
      <c r="E307" t="s">
        <v>3127</v>
      </c>
      <c r="F307" t="s">
        <v>3130</v>
      </c>
      <c r="G307" s="2" t="s">
        <v>3437</v>
      </c>
      <c r="H307">
        <v>6.195E-05</v>
      </c>
      <c r="I307">
        <v>6.65E-05</v>
      </c>
      <c r="J307">
        <v>0.00012845</v>
      </c>
    </row>
    <row r="308" spans="1:10">
      <c r="A308">
        <f>HYPERLINK("https://mega.nz/file/TVtVTDiT#8dehq8UI_RJSLNs5ucjOCAWL3XS_eKZnRP5ZDYkl3H0", "La Serpiente Celeste")</f>
        <v>0</v>
      </c>
      <c r="B308" t="s">
        <v>44</v>
      </c>
      <c r="C308" t="s">
        <v>788</v>
      </c>
      <c r="D308" t="s">
        <v>2087</v>
      </c>
      <c r="E308" t="s">
        <v>3117</v>
      </c>
      <c r="F308" t="s">
        <v>3130</v>
      </c>
      <c r="G308" s="2" t="s">
        <v>3438</v>
      </c>
      <c r="H308">
        <v>6.02E-05</v>
      </c>
      <c r="I308">
        <v>6.825000000000001E-05</v>
      </c>
      <c r="J308">
        <v>0.00012845</v>
      </c>
    </row>
    <row r="309" spans="1:10">
      <c r="A309">
        <f>HYPERLINK("https://mega.nz/file/TBdRCTxC#CrYGQ3EJYkVSh4174ImUrsXIll8xH4IYZ-bJsyvh2Hg", "La Tumba De Tutankamon")</f>
        <v>0</v>
      </c>
      <c r="B309" t="s">
        <v>44</v>
      </c>
      <c r="C309" t="s">
        <v>789</v>
      </c>
      <c r="D309" t="s">
        <v>2088</v>
      </c>
      <c r="E309" t="s">
        <v>3117</v>
      </c>
      <c r="F309" t="s">
        <v>3130</v>
      </c>
      <c r="G309" s="2" t="s">
        <v>3439</v>
      </c>
      <c r="H309">
        <v>6.755E-05</v>
      </c>
      <c r="I309">
        <v>7.14E-05</v>
      </c>
      <c r="J309">
        <v>0.00013895</v>
      </c>
    </row>
    <row r="310" spans="1:10">
      <c r="A310">
        <f>HYPERLINK("https://mega.nz/file/yMdFxS5Y#-1Y6qpcH_987M24ZQrvWp9QVPATgyXCVQTqOON4jSa8", "La Voz Del Silencio")</f>
        <v>0</v>
      </c>
      <c r="B310" t="s">
        <v>44</v>
      </c>
      <c r="C310" t="s">
        <v>790</v>
      </c>
      <c r="D310" t="s">
        <v>2089</v>
      </c>
      <c r="E310" t="s">
        <v>3117</v>
      </c>
      <c r="F310" t="s">
        <v>3130</v>
      </c>
      <c r="G310" s="2" t="s">
        <v>3440</v>
      </c>
      <c r="H310">
        <v>5.985E-05</v>
      </c>
      <c r="I310">
        <v>7.07E-05</v>
      </c>
      <c r="J310">
        <v>0.00013055</v>
      </c>
    </row>
    <row r="311" spans="1:10">
      <c r="A311">
        <f>HYPERLINK("https://mega.nz/file/SAFVAKZD#_u2pLDvqrnlfogUtCQYLUpLuUp3q6HdNuWrEWPTBUv8", "Lalitopakyana")</f>
        <v>0</v>
      </c>
      <c r="B311" t="s">
        <v>44</v>
      </c>
      <c r="C311" t="s">
        <v>791</v>
      </c>
      <c r="D311" t="s">
        <v>2090</v>
      </c>
      <c r="E311" t="s">
        <v>3117</v>
      </c>
      <c r="F311" t="s">
        <v>3131</v>
      </c>
      <c r="G311" s="2" t="s">
        <v>3441</v>
      </c>
      <c r="H311">
        <v>5.985E-05</v>
      </c>
      <c r="I311">
        <v>5.81E-05</v>
      </c>
      <c r="J311">
        <v>0.00011795</v>
      </c>
    </row>
    <row r="312" spans="1:10">
      <c r="A312">
        <f>HYPERLINK("https://mega.nz/file/KckFEThK#mY8bM-NdCcN7238Q7xIYEKVKCiuVRdYMrt2oAec7EYs", "Las Conjuraciones y la Invocacion del Rey Salomon")</f>
        <v>0</v>
      </c>
      <c r="B312" t="s">
        <v>44</v>
      </c>
      <c r="C312" t="s">
        <v>792</v>
      </c>
      <c r="D312" t="s">
        <v>2091</v>
      </c>
      <c r="E312" t="s">
        <v>3117</v>
      </c>
      <c r="F312" t="s">
        <v>3130</v>
      </c>
      <c r="G312" s="2" t="s">
        <v>3442</v>
      </c>
      <c r="H312">
        <v>6.719999999999999E-05</v>
      </c>
      <c r="I312">
        <v>6.685E-05</v>
      </c>
      <c r="J312">
        <v>0.00013405</v>
      </c>
    </row>
    <row r="313" spans="1:10">
      <c r="A313">
        <f>HYPERLINK("https://mega.nz/file/yFV1wAAD#rhnCnsSIP-4nUdvPSx_w_McCMhrFEtOHJyM4wG_VV4w", "Las Cuatro Sendas Del Chaman")</f>
        <v>0</v>
      </c>
      <c r="B313" t="s">
        <v>44</v>
      </c>
      <c r="C313" t="s">
        <v>793</v>
      </c>
      <c r="D313" t="s">
        <v>2092</v>
      </c>
      <c r="E313" t="s">
        <v>3117</v>
      </c>
      <c r="F313" t="s">
        <v>3130</v>
      </c>
      <c r="G313" s="2" t="s">
        <v>3443</v>
      </c>
      <c r="H313">
        <v>6.3E-05</v>
      </c>
      <c r="I313">
        <v>6.755E-05</v>
      </c>
      <c r="J313">
        <v>0.00013055</v>
      </c>
    </row>
    <row r="314" spans="1:10">
      <c r="A314">
        <f>HYPERLINK("https://mega.nz/file/GZsxzIoL#KqSiMBUb263iprinV92OM1Oi6GLuheIBAZEiOi_X720", "Las Piramides De Egipto")</f>
        <v>0</v>
      </c>
      <c r="B314" t="s">
        <v>44</v>
      </c>
      <c r="C314" t="s">
        <v>794</v>
      </c>
      <c r="D314" t="s">
        <v>2093</v>
      </c>
      <c r="E314" t="s">
        <v>3128</v>
      </c>
      <c r="F314" t="s">
        <v>3130</v>
      </c>
      <c r="G314" s="2" t="s">
        <v>3444</v>
      </c>
      <c r="H314">
        <v>6.545000000000001E-05</v>
      </c>
      <c r="I314">
        <v>7.07E-05</v>
      </c>
      <c r="J314">
        <v>0.00013615</v>
      </c>
    </row>
    <row r="315" spans="1:10">
      <c r="A315">
        <f>HYPERLINK("https://mega.nz/file/OctjGLbC#coryPh_WYqXljBsmvauCRNlnU579SovEHqvRikRfhSU", "Left-Hand Path and Right-Hand Path")</f>
        <v>0</v>
      </c>
      <c r="B315" t="s">
        <v>44</v>
      </c>
      <c r="C315" t="s">
        <v>795</v>
      </c>
      <c r="D315" t="s">
        <v>2094</v>
      </c>
      <c r="E315" t="s">
        <v>3117</v>
      </c>
      <c r="F315" t="s">
        <v>3131</v>
      </c>
      <c r="G315" s="2" t="s">
        <v>3445</v>
      </c>
      <c r="H315">
        <v>6.405E-05</v>
      </c>
      <c r="I315">
        <v>5.67E-05</v>
      </c>
      <c r="J315">
        <v>0.00012075</v>
      </c>
    </row>
    <row r="316" spans="1:10">
      <c r="A316">
        <f>HYPERLINK("https://mega.nz/file/zBkCVDoA#6dbGfsweSjk6laaNO8dwvLds1ImEXZDmSg0uu2wAlk8", "Legends of the Gods")</f>
        <v>0</v>
      </c>
      <c r="B316" t="s">
        <v>44</v>
      </c>
      <c r="C316" t="s">
        <v>796</v>
      </c>
      <c r="D316" t="s">
        <v>2095</v>
      </c>
      <c r="E316" t="s">
        <v>3117</v>
      </c>
      <c r="F316" t="s">
        <v>3131</v>
      </c>
      <c r="G316" s="2" t="s">
        <v>3446</v>
      </c>
      <c r="H316">
        <v>5.88E-05</v>
      </c>
      <c r="I316">
        <v>5.075E-05</v>
      </c>
      <c r="J316">
        <v>0.00010955</v>
      </c>
    </row>
    <row r="317" spans="1:10">
      <c r="A317">
        <f>HYPERLINK("https://mega.nz/file/LIEFRB5a#CKeEaze_q6vhUuShc3dC4TZzg6OXOl_dND5jfnD-JrI", "Lesser Absorbing Ritual of the Pentagram of Set")</f>
        <v>0</v>
      </c>
      <c r="B317" t="s">
        <v>44</v>
      </c>
      <c r="C317" t="s">
        <v>797</v>
      </c>
      <c r="D317" t="s">
        <v>2096</v>
      </c>
      <c r="E317" t="s">
        <v>3117</v>
      </c>
      <c r="F317" t="s">
        <v>3131</v>
      </c>
      <c r="G317" s="2" t="s">
        <v>3447</v>
      </c>
      <c r="H317">
        <v>6.615E-05</v>
      </c>
      <c r="I317">
        <v>5.53E-05</v>
      </c>
      <c r="J317">
        <v>0.00012145</v>
      </c>
    </row>
    <row r="318" spans="1:10">
      <c r="A318">
        <f>HYPERLINK("https://mega.nz/file/adkFSZhI#kN0L3krYAWRiANRowZDdJV1eNGLML6Hu8ogBnrIxj78", "Letter from a Luciferean")</f>
        <v>0</v>
      </c>
      <c r="B318" t="s">
        <v>44</v>
      </c>
      <c r="C318" t="s">
        <v>798</v>
      </c>
      <c r="D318" t="s">
        <v>2097</v>
      </c>
      <c r="E318" t="s">
        <v>3127</v>
      </c>
      <c r="F318" t="s">
        <v>3131</v>
      </c>
      <c r="G318" s="2" t="s">
        <v>3448</v>
      </c>
      <c r="H318">
        <v>6.195E-05</v>
      </c>
      <c r="I318">
        <v>5.11E-05</v>
      </c>
      <c r="J318">
        <v>0.00011305</v>
      </c>
    </row>
    <row r="319" spans="1:10">
      <c r="A319">
        <f>HYPERLINK("https://mega.nz/file/qM1BgSoa#RGT6Glm7EPvA6rBsb52qMh-Ec1ViFXFe_6YJ1gq1Jrc", "Levogyrate Tantra")</f>
        <v>0</v>
      </c>
      <c r="B319" t="s">
        <v>44</v>
      </c>
      <c r="C319" t="s">
        <v>799</v>
      </c>
      <c r="D319" t="s">
        <v>2098</v>
      </c>
      <c r="E319" t="s">
        <v>3119</v>
      </c>
      <c r="F319" t="s">
        <v>3131</v>
      </c>
      <c r="G319" s="2" t="s">
        <v>3449</v>
      </c>
      <c r="H319">
        <v>5.985E-05</v>
      </c>
      <c r="I319">
        <v>5.25E-05</v>
      </c>
      <c r="J319">
        <v>0.00011235</v>
      </c>
    </row>
    <row r="320" spans="1:10">
      <c r="A320">
        <f>HYPERLINK("https://mega.nz/file/PJ8jmR6T#5xA6ip9t4WxUW3yHk0bdUbVnhw-_q5OvTZI5aiwdbnQ", "Lex Sacra")</f>
        <v>0</v>
      </c>
      <c r="B320" t="s">
        <v>44</v>
      </c>
      <c r="C320" t="s">
        <v>800</v>
      </c>
      <c r="D320" t="s">
        <v>2099</v>
      </c>
      <c r="E320" t="s">
        <v>3117</v>
      </c>
      <c r="F320" t="s">
        <v>3131</v>
      </c>
      <c r="G320" s="2" t="s">
        <v>3450</v>
      </c>
      <c r="H320">
        <v>5.985E-05</v>
      </c>
      <c r="I320">
        <v>4.48E-05</v>
      </c>
      <c r="J320">
        <v>0.00010465</v>
      </c>
    </row>
    <row r="321" spans="1:10">
      <c r="A321">
        <f>HYPERLINK("https://mega.nz/file/Wd0FmJ7K#W1j2Z29ZsydY1g8_kuSZUCbdn-1_M7SwYFct61R7akI", "Liber Azazel")</f>
        <v>0</v>
      </c>
      <c r="B321" t="s">
        <v>44</v>
      </c>
      <c r="C321" t="s">
        <v>801</v>
      </c>
      <c r="D321" t="s">
        <v>2100</v>
      </c>
      <c r="E321" t="s">
        <v>3117</v>
      </c>
      <c r="F321" t="s">
        <v>3131</v>
      </c>
      <c r="G321" s="2" t="s">
        <v>3451</v>
      </c>
      <c r="H321">
        <v>5.88E-05</v>
      </c>
      <c r="I321">
        <v>5.285E-05</v>
      </c>
      <c r="J321">
        <v>0.00011165</v>
      </c>
    </row>
    <row r="322" spans="1:10">
      <c r="A322">
        <f>HYPERLINK("https://mega.nz/file/jMFDDBKb#akykpesQVmohjYfINxAxH6HoCHryUB82ewlEaW-0mXQ", "Liber Lilith Un Grimorio Gnostico")</f>
        <v>0</v>
      </c>
      <c r="B322" t="s">
        <v>44</v>
      </c>
      <c r="C322" t="s">
        <v>802</v>
      </c>
      <c r="D322" t="s">
        <v>2101</v>
      </c>
      <c r="E322" t="s">
        <v>3117</v>
      </c>
      <c r="F322" t="s">
        <v>3130</v>
      </c>
      <c r="G322" s="2" t="s">
        <v>3452</v>
      </c>
      <c r="H322">
        <v>6.405E-05</v>
      </c>
      <c r="I322">
        <v>6.160000000000001E-05</v>
      </c>
      <c r="J322">
        <v>0.00012565</v>
      </c>
    </row>
    <row r="323" spans="1:10">
      <c r="A323">
        <f>HYPERLINK("https://mega.nz/file/jVdAwJrB#k9S5qjhmPsXNzRPANJSfmej3sebFzEiVp_Ag_8SxA0w", "Liber Lupinus")</f>
        <v>0</v>
      </c>
      <c r="B323" t="s">
        <v>44</v>
      </c>
      <c r="C323" t="s">
        <v>803</v>
      </c>
      <c r="D323" t="s">
        <v>2102</v>
      </c>
      <c r="E323" t="s">
        <v>3117</v>
      </c>
      <c r="F323" t="s">
        <v>3131</v>
      </c>
      <c r="G323" s="2" t="s">
        <v>3453</v>
      </c>
      <c r="H323">
        <v>5.88E-05</v>
      </c>
      <c r="I323">
        <v>5.53E-05</v>
      </c>
      <c r="J323">
        <v>0.0001141</v>
      </c>
    </row>
    <row r="324" spans="1:10">
      <c r="A324">
        <f>HYPERLINK("https://mega.nz/file/fBsxzDAI#FHS_ICEqnMl-YD4-NDPFQCgd7Y4l_wADx4CEJWi-XJ4", "Liber Nicht")</f>
        <v>0</v>
      </c>
      <c r="B324" t="s">
        <v>44</v>
      </c>
      <c r="C324" t="s">
        <v>804</v>
      </c>
      <c r="D324" t="s">
        <v>2103</v>
      </c>
      <c r="E324" t="s">
        <v>3117</v>
      </c>
      <c r="F324" t="s">
        <v>3131</v>
      </c>
      <c r="G324" s="2" t="s">
        <v>3454</v>
      </c>
      <c r="H324">
        <v>5.74E-05</v>
      </c>
      <c r="I324">
        <v>5.495E-05</v>
      </c>
      <c r="J324">
        <v>0.00011235</v>
      </c>
    </row>
    <row r="325" spans="1:10">
      <c r="A325">
        <f>HYPERLINK("https://mega.nz/file/TEd3XSyT#XeFyfLK6ekcRmboSaTxo89lZWsctSl7lavISbbc5S94", "Libro Wicca Vii Venezuela")</f>
        <v>0</v>
      </c>
      <c r="B325" t="s">
        <v>44</v>
      </c>
      <c r="C325" t="s">
        <v>805</v>
      </c>
      <c r="D325" t="s">
        <v>2104</v>
      </c>
      <c r="E325" t="s">
        <v>3123</v>
      </c>
      <c r="F325" t="s">
        <v>3130</v>
      </c>
      <c r="G325" s="2" t="s">
        <v>3455</v>
      </c>
      <c r="H325">
        <v>6.195E-05</v>
      </c>
      <c r="I325">
        <v>6.51E-05</v>
      </c>
      <c r="J325">
        <v>0.00012705</v>
      </c>
    </row>
    <row r="326" spans="1:10">
      <c r="A326">
        <f>HYPERLINK("https://mega.nz/file/OMdjHRqb#VZURQfu3loZu3dmp0v-2chG-GUR6Meb4cEw62_tWK2o", "Logos mantram magia")</f>
        <v>0</v>
      </c>
      <c r="B326" t="s">
        <v>44</v>
      </c>
      <c r="C326" t="s">
        <v>806</v>
      </c>
      <c r="D326" t="s">
        <v>2105</v>
      </c>
      <c r="E326" t="s">
        <v>3117</v>
      </c>
      <c r="F326" t="s">
        <v>3130</v>
      </c>
      <c r="G326" s="2" t="s">
        <v>3456</v>
      </c>
      <c r="H326">
        <v>5.985E-05</v>
      </c>
      <c r="I326">
        <v>6.719999999999999E-05</v>
      </c>
      <c r="J326">
        <v>0.00012705</v>
      </c>
    </row>
    <row r="327" spans="1:10">
      <c r="A327">
        <f>HYPERLINK("https://mega.nz/file/HFdgxZia#Y5PhuxhAmMzBXgKlXUcNH4R3dlzMETEOpjEn6U5WwxM", "Londinium Temple Strain")</f>
        <v>0</v>
      </c>
      <c r="B327" t="s">
        <v>44</v>
      </c>
      <c r="C327" t="s">
        <v>807</v>
      </c>
      <c r="D327" t="s">
        <v>2106</v>
      </c>
      <c r="E327" t="s">
        <v>3117</v>
      </c>
      <c r="F327" t="s">
        <v>3131</v>
      </c>
      <c r="G327" s="2" t="s">
        <v>3457</v>
      </c>
      <c r="H327">
        <v>5.88E-05</v>
      </c>
      <c r="I327">
        <v>5.285E-05</v>
      </c>
      <c r="J327">
        <v>0.00011165</v>
      </c>
    </row>
    <row r="328" spans="1:10">
      <c r="A328">
        <f>HYPERLINK("https://mega.nz/file/KN9hDJ6B#bnuRNWr14Jgazd8OGGhhxvro596n81x0of5BdaRQndo", "Los 72 Genios de la Cabala")</f>
        <v>0</v>
      </c>
      <c r="B328" t="s">
        <v>44</v>
      </c>
      <c r="C328" t="s">
        <v>808</v>
      </c>
      <c r="D328" t="s">
        <v>2107</v>
      </c>
      <c r="E328" t="s">
        <v>3118</v>
      </c>
      <c r="F328" t="s">
        <v>3130</v>
      </c>
      <c r="G328" s="2" t="s">
        <v>3458</v>
      </c>
      <c r="H328">
        <v>6.51E-05</v>
      </c>
      <c r="I328">
        <v>7.525E-05</v>
      </c>
      <c r="J328">
        <v>0.00014035</v>
      </c>
    </row>
    <row r="329" spans="1:10">
      <c r="A329">
        <f>HYPERLINK("https://mega.nz/file/6I1hTCzb#wNMXWMKQUyTSGC2Z4XYBmYJosCBB3RaXk_4p0qWrIkc", "Los Caballeros Templarios")</f>
        <v>0</v>
      </c>
      <c r="B329" t="s">
        <v>44</v>
      </c>
      <c r="C329" t="s">
        <v>809</v>
      </c>
      <c r="D329" t="s">
        <v>2108</v>
      </c>
      <c r="E329" t="s">
        <v>3120</v>
      </c>
      <c r="F329" t="s">
        <v>3130</v>
      </c>
      <c r="G329" s="2" t="s">
        <v>3459</v>
      </c>
      <c r="H329">
        <v>6.545000000000001E-05</v>
      </c>
      <c r="I329">
        <v>7.49E-05</v>
      </c>
      <c r="J329">
        <v>0.00014035</v>
      </c>
    </row>
    <row r="330" spans="1:10">
      <c r="A330">
        <f>HYPERLINK("https://mega.nz/file/LEkyiJ4I#Py_FrmLbSCmwoeAx71w3tqhvPJKckbKLDCkerepHNR0", "Los Grandes Misterios De La Historia")</f>
        <v>0</v>
      </c>
      <c r="B330" t="s">
        <v>44</v>
      </c>
      <c r="C330" t="s">
        <v>810</v>
      </c>
      <c r="D330" t="s">
        <v>2109</v>
      </c>
      <c r="E330" t="s">
        <v>3117</v>
      </c>
      <c r="F330" t="s">
        <v>3130</v>
      </c>
      <c r="G330" s="2" t="s">
        <v>3460</v>
      </c>
      <c r="H330">
        <v>6.3E-05</v>
      </c>
      <c r="I330">
        <v>6.86E-05</v>
      </c>
      <c r="J330">
        <v>0.0001316</v>
      </c>
    </row>
    <row r="331" spans="1:10">
      <c r="A331">
        <f>HYPERLINK("https://mega.nz/file/DFUyGabI#bZGdrsErw6_l_yJv41cdzS3nzfpSrefJko4Ba1ydRbU", "Los Hijos de Lucifer")</f>
        <v>0</v>
      </c>
      <c r="B331" t="s">
        <v>44</v>
      </c>
      <c r="C331" t="s">
        <v>811</v>
      </c>
      <c r="D331" t="s">
        <v>2110</v>
      </c>
      <c r="E331" t="s">
        <v>3127</v>
      </c>
      <c r="F331" t="s">
        <v>3130</v>
      </c>
      <c r="G331" s="2" t="s">
        <v>3461</v>
      </c>
      <c r="H331">
        <v>5.985E-05</v>
      </c>
      <c r="I331">
        <v>6.999999999999999E-05</v>
      </c>
      <c r="J331">
        <v>0.00012985</v>
      </c>
    </row>
    <row r="332" spans="1:10">
      <c r="A332">
        <f>HYPERLINK("https://mega.nz/file/PMkVlDZD#RUuVvRLkaiH7LTMc6U14NkHO0yirFXm1OlHmz126G1E", "Los Manuscritos Del Mar Muerto")</f>
        <v>0</v>
      </c>
      <c r="B332" t="s">
        <v>44</v>
      </c>
      <c r="C332" t="s">
        <v>812</v>
      </c>
      <c r="D332" t="s">
        <v>2111</v>
      </c>
      <c r="E332" t="s">
        <v>3117</v>
      </c>
      <c r="F332" t="s">
        <v>3130</v>
      </c>
      <c r="G332" s="2" t="s">
        <v>3462</v>
      </c>
      <c r="H332">
        <v>6.86E-05</v>
      </c>
      <c r="I332">
        <v>7.525E-05</v>
      </c>
      <c r="J332">
        <v>0.00014385</v>
      </c>
    </row>
    <row r="333" spans="1:10">
      <c r="A333">
        <f>HYPERLINK("https://mega.nz/file/TA80kYSa#85OnhYdkJwO4ze_6L6_-oZY9yRzuYyRIgxY3WGPoUAg", "Los Misterios De Las Tumbas Egipcias")</f>
        <v>0</v>
      </c>
      <c r="B333" t="s">
        <v>44</v>
      </c>
      <c r="C333" t="s">
        <v>813</v>
      </c>
      <c r="D333" t="s">
        <v>2112</v>
      </c>
      <c r="E333" t="s">
        <v>3117</v>
      </c>
      <c r="F333" t="s">
        <v>3130</v>
      </c>
      <c r="G333" s="2" t="s">
        <v>3463</v>
      </c>
      <c r="H333">
        <v>6.825000000000001E-05</v>
      </c>
      <c r="I333">
        <v>8.26E-05</v>
      </c>
      <c r="J333">
        <v>0.00015085</v>
      </c>
    </row>
    <row r="334" spans="1:10">
      <c r="A334">
        <f>HYPERLINK("https://mega.nz/file/mcURDLTA#MgtvuDMDVV1NYE05qw6lxA5mUkpK5MQrbesNklKAwOQ", "Los Moais De La Isla De Pascua")</f>
        <v>0</v>
      </c>
      <c r="B334" t="s">
        <v>44</v>
      </c>
      <c r="C334" t="s">
        <v>814</v>
      </c>
      <c r="D334" t="s">
        <v>2113</v>
      </c>
      <c r="E334" t="s">
        <v>3117</v>
      </c>
      <c r="F334" t="s">
        <v>3130</v>
      </c>
      <c r="G334" s="2" t="s">
        <v>3464</v>
      </c>
      <c r="H334">
        <v>6.965E-05</v>
      </c>
      <c r="I334">
        <v>7.14E-05</v>
      </c>
      <c r="J334">
        <v>0.00014105</v>
      </c>
    </row>
    <row r="335" spans="1:10">
      <c r="A335">
        <f>HYPERLINK("https://mega.nz/file/2FlD2ICC#LXYtyRYUbjPd2zMpqTTlY0TY6K3SxnvMj2ash-Ri6N0", "Los Reinos Elementales Magia De Los Elementos")</f>
        <v>0</v>
      </c>
      <c r="B335" t="s">
        <v>44</v>
      </c>
      <c r="C335" t="s">
        <v>815</v>
      </c>
      <c r="D335" t="s">
        <v>2114</v>
      </c>
      <c r="E335" t="s">
        <v>3117</v>
      </c>
      <c r="F335" t="s">
        <v>3130</v>
      </c>
      <c r="G335" s="2" t="s">
        <v>3465</v>
      </c>
      <c r="H335">
        <v>6.615E-05</v>
      </c>
      <c r="I335">
        <v>7.279999999999999E-05</v>
      </c>
      <c r="J335">
        <v>0.00013895</v>
      </c>
    </row>
    <row r="336" spans="1:10">
      <c r="A336">
        <f>HYPERLINK("https://mega.nz/file/7B0yyTwY#jYJ9YHfM0mccxxnEgXhjcQ9PyOvpcVYCuVtX7g7uoPs", "Luciferian Goetia")</f>
        <v>0</v>
      </c>
      <c r="B336" t="s">
        <v>44</v>
      </c>
      <c r="C336" t="s">
        <v>816</v>
      </c>
      <c r="D336" t="s">
        <v>2115</v>
      </c>
      <c r="E336" t="s">
        <v>3127</v>
      </c>
      <c r="F336" t="s">
        <v>3131</v>
      </c>
      <c r="G336" s="2" t="s">
        <v>3466</v>
      </c>
      <c r="H336">
        <v>6.09E-05</v>
      </c>
      <c r="I336">
        <v>5.355E-05</v>
      </c>
      <c r="J336">
        <v>0.00011445</v>
      </c>
    </row>
    <row r="337" spans="1:10">
      <c r="A337">
        <f>HYPERLINK("https://mega.nz/file/HA83WSgD#ygOsU67iitBBT3CXwSXuFwpVEht6xIDFxHiJu1EFFTk", "Luciferian Path &amp; The Witches Sabbat")</f>
        <v>0</v>
      </c>
      <c r="B337" t="s">
        <v>44</v>
      </c>
      <c r="C337" t="s">
        <v>817</v>
      </c>
      <c r="D337" t="s">
        <v>2116</v>
      </c>
      <c r="E337" t="s">
        <v>3127</v>
      </c>
      <c r="F337" t="s">
        <v>3131</v>
      </c>
      <c r="G337" s="2" t="s">
        <v>3467</v>
      </c>
      <c r="H337">
        <v>6.51E-05</v>
      </c>
      <c r="I337">
        <v>5.425E-05</v>
      </c>
      <c r="J337">
        <v>0.00011935</v>
      </c>
    </row>
    <row r="338" spans="1:10">
      <c r="A338">
        <f>HYPERLINK("https://mega.nz/file/ycVjEa4a#XXs1rpf4HZvxmpp2RkaJaqRx-y-A_FgbaOxyWuC6eWw", "Luciferian Sorcery")</f>
        <v>0</v>
      </c>
      <c r="B338" t="s">
        <v>44</v>
      </c>
      <c r="C338" t="s">
        <v>818</v>
      </c>
      <c r="D338" t="s">
        <v>2117</v>
      </c>
      <c r="E338" t="s">
        <v>3127</v>
      </c>
      <c r="F338" t="s">
        <v>3131</v>
      </c>
      <c r="G338" s="2" t="s">
        <v>3468</v>
      </c>
      <c r="H338">
        <v>5.985E-05</v>
      </c>
      <c r="I338">
        <v>4.97E-05</v>
      </c>
      <c r="J338">
        <v>0.00010955</v>
      </c>
    </row>
    <row r="339" spans="1:10">
      <c r="A339">
        <f>HYPERLINK("https://mega.nz/file/7VtVwAAD#si3Zl0nExdx1QKrPHqR1wOBDfrhGk8lyUo28CJWMPls", "Luciferian Sorcery and Set - Typhon")</f>
        <v>0</v>
      </c>
      <c r="B339" t="s">
        <v>44</v>
      </c>
      <c r="C339" t="s">
        <v>819</v>
      </c>
      <c r="D339" t="s">
        <v>2118</v>
      </c>
      <c r="E339" t="s">
        <v>3127</v>
      </c>
      <c r="F339" t="s">
        <v>3131</v>
      </c>
      <c r="G339" s="2" t="s">
        <v>3469</v>
      </c>
      <c r="H339">
        <v>6.51E-05</v>
      </c>
      <c r="I339">
        <v>5.495E-05</v>
      </c>
      <c r="J339">
        <v>0.00012005</v>
      </c>
    </row>
    <row r="340" spans="1:10">
      <c r="A340">
        <f>HYPERLINK("https://mega.nz/file/qFcmCQqC#2PX6MQ3yv1A3u7XVO0XjWum4NOZ6tD_A7fScbDc31_k", "Luciferian Witchcraft - An Introduction")</f>
        <v>0</v>
      </c>
      <c r="B340" t="s">
        <v>44</v>
      </c>
      <c r="C340" t="s">
        <v>820</v>
      </c>
      <c r="D340" t="s">
        <v>2119</v>
      </c>
      <c r="E340" t="s">
        <v>3123</v>
      </c>
      <c r="F340" t="s">
        <v>3131</v>
      </c>
      <c r="G340" s="2" t="s">
        <v>3470</v>
      </c>
      <c r="H340">
        <v>6.3E-05</v>
      </c>
      <c r="I340">
        <v>5.635E-05</v>
      </c>
      <c r="J340">
        <v>0.00011935</v>
      </c>
    </row>
    <row r="341" spans="1:10">
      <c r="A341">
        <f>HYPERLINK("https://mega.nz/file/2ctiDJaQ#CcEapwZdzKgwguXGkR9mB47j-bIqBT0RU4Ty8Sr0ZN0", "magia - hechizos y rituales de amor")</f>
        <v>0</v>
      </c>
      <c r="B341" t="s">
        <v>44</v>
      </c>
      <c r="C341" t="s">
        <v>821</v>
      </c>
      <c r="D341" t="s">
        <v>2120</v>
      </c>
      <c r="E341" t="s">
        <v>3117</v>
      </c>
      <c r="F341" t="s">
        <v>3130</v>
      </c>
      <c r="G341" s="2" t="s">
        <v>3471</v>
      </c>
      <c r="H341">
        <v>6.58E-05</v>
      </c>
      <c r="I341">
        <v>6.685E-05</v>
      </c>
      <c r="J341">
        <v>0.00013265</v>
      </c>
    </row>
    <row r="342" spans="1:10">
      <c r="A342">
        <f>HYPERLINK("https://mega.nz/file/HFVSAayS#PFp9kYTfmr5hjD89A_fcL6OP8c5j6sVl7JI2wzMSUKk", "Magia Astral")</f>
        <v>0</v>
      </c>
      <c r="B342" t="s">
        <v>44</v>
      </c>
      <c r="C342" t="s">
        <v>822</v>
      </c>
      <c r="D342" t="s">
        <v>2121</v>
      </c>
      <c r="E342" t="s">
        <v>3117</v>
      </c>
      <c r="F342" t="s">
        <v>3130</v>
      </c>
      <c r="G342" s="2" t="s">
        <v>3472</v>
      </c>
      <c r="H342">
        <v>5.775E-05</v>
      </c>
      <c r="I342">
        <v>6.79E-05</v>
      </c>
      <c r="J342">
        <v>0.00012565</v>
      </c>
    </row>
    <row r="343" spans="1:10">
      <c r="A343">
        <f>HYPERLINK("https://mega.nz/file/XJM3AA6a#J3FYlIVAHrldljML83W-h7qW1iJmxHmZQDfiFyGWJr4", "Magia Blanca y Magia Negra")</f>
        <v>0</v>
      </c>
      <c r="B343" t="s">
        <v>44</v>
      </c>
      <c r="C343" t="s">
        <v>823</v>
      </c>
      <c r="D343" t="s">
        <v>2122</v>
      </c>
      <c r="E343" t="s">
        <v>3117</v>
      </c>
      <c r="F343" t="s">
        <v>3130</v>
      </c>
      <c r="G343" s="2" t="s">
        <v>3473</v>
      </c>
      <c r="H343">
        <v>6.195E-05</v>
      </c>
      <c r="I343">
        <v>6.09E-05</v>
      </c>
      <c r="J343">
        <v>0.00012285</v>
      </c>
    </row>
    <row r="344" spans="1:10">
      <c r="A344">
        <f>HYPERLINK("https://mega.nz/file/jV9jUT7Q#1nFiuDTRXTQ4xX5muRiS61DWy_yER9uuiE7LpUzP9Uc", "Magia Ceremonial y el Poder de la Evocacion")</f>
        <v>0</v>
      </c>
      <c r="B344" t="s">
        <v>44</v>
      </c>
      <c r="C344" t="s">
        <v>824</v>
      </c>
      <c r="D344" t="s">
        <v>2123</v>
      </c>
      <c r="E344" t="s">
        <v>3117</v>
      </c>
      <c r="F344" t="s">
        <v>3130</v>
      </c>
      <c r="G344" s="2" t="s">
        <v>3474</v>
      </c>
      <c r="H344">
        <v>6.719999999999999E-05</v>
      </c>
      <c r="I344">
        <v>7.455E-05</v>
      </c>
      <c r="J344">
        <v>0.00014175</v>
      </c>
    </row>
    <row r="345" spans="1:10">
      <c r="A345">
        <f>HYPERLINK("https://mega.nz/file/eUUlWYbI#qtz4ImK2rDcPM0BZFubIEn2ntAk5S_hXrxiUnVy2lRk", "Magia del caos")</f>
        <v>0</v>
      </c>
      <c r="B345" t="s">
        <v>44</v>
      </c>
      <c r="C345" t="s">
        <v>825</v>
      </c>
      <c r="D345" t="s">
        <v>2124</v>
      </c>
      <c r="E345" t="s">
        <v>3125</v>
      </c>
      <c r="F345" t="s">
        <v>3130</v>
      </c>
      <c r="G345" s="2" t="s">
        <v>3475</v>
      </c>
      <c r="H345">
        <v>5.88E-05</v>
      </c>
      <c r="I345">
        <v>6.965E-05</v>
      </c>
      <c r="J345">
        <v>0.00012845</v>
      </c>
    </row>
    <row r="346" spans="1:10">
      <c r="A346">
        <f>HYPERLINK("https://mega.nz/file/2I90iL5B#ldKdhyYVdwqh3AsR5vdDI5rjm8rKBURP2rrbnpvuFi4", "Magia Elemental")</f>
        <v>0</v>
      </c>
      <c r="B346" t="s">
        <v>44</v>
      </c>
      <c r="C346" t="s">
        <v>826</v>
      </c>
      <c r="D346" t="s">
        <v>2125</v>
      </c>
      <c r="E346" t="s">
        <v>3117</v>
      </c>
      <c r="F346" t="s">
        <v>3130</v>
      </c>
      <c r="G346" s="2" t="s">
        <v>3476</v>
      </c>
      <c r="H346">
        <v>5.845E-05</v>
      </c>
      <c r="I346">
        <v>7.21E-05</v>
      </c>
      <c r="J346">
        <v>0.00013055</v>
      </c>
    </row>
    <row r="347" spans="1:10">
      <c r="A347">
        <f>HYPERLINK("https://mega.nz/file/vBkhwBiT#dOqO2_xKPFL2BlG602G0RExbUXsv8-T7_Gz48BrE51w", "Magia Sexualis- Sex, Secrecy, and Liberation in Modern Western Esotericism")</f>
        <v>0</v>
      </c>
      <c r="B347" t="s">
        <v>44</v>
      </c>
      <c r="C347" t="s">
        <v>827</v>
      </c>
      <c r="D347" t="s">
        <v>2126</v>
      </c>
      <c r="E347" t="s">
        <v>3117</v>
      </c>
      <c r="F347" t="s">
        <v>3130</v>
      </c>
      <c r="G347" s="2" t="s">
        <v>3477</v>
      </c>
      <c r="H347">
        <v>7.455E-05</v>
      </c>
      <c r="I347">
        <v>7.35E-05</v>
      </c>
      <c r="J347">
        <v>0.00014805</v>
      </c>
    </row>
    <row r="348" spans="1:10">
      <c r="A348">
        <f>HYPERLINK("https://mega.nz/file/SNVFDBLL#uBZtqZHDQe8DZurN4D9-I8zFUR3FQfwRlEv-kICElvo", "Magia un tratado sobre ocultismo natural")</f>
        <v>0</v>
      </c>
      <c r="B348" t="s">
        <v>44</v>
      </c>
      <c r="C348" t="s">
        <v>828</v>
      </c>
      <c r="D348" t="s">
        <v>2127</v>
      </c>
      <c r="E348" t="s">
        <v>3117</v>
      </c>
      <c r="F348" t="s">
        <v>3130</v>
      </c>
      <c r="G348" s="2" t="s">
        <v>3478</v>
      </c>
      <c r="H348">
        <v>6.3E-05</v>
      </c>
      <c r="I348">
        <v>7.245E-05</v>
      </c>
      <c r="J348">
        <v>0.00013545</v>
      </c>
    </row>
    <row r="349" spans="1:10">
      <c r="A349">
        <f>HYPERLINK("https://mega.nz/file/rcEllR4b#nJYEkNK2McLEm_Dh2eNYyvLolxSi3O6wUhMBOvZllkU", "Magia Y Ocultismo En El Siglo XIX")</f>
        <v>0</v>
      </c>
      <c r="B349" t="s">
        <v>44</v>
      </c>
      <c r="C349" t="s">
        <v>829</v>
      </c>
      <c r="D349" t="s">
        <v>2128</v>
      </c>
      <c r="E349" t="s">
        <v>3117</v>
      </c>
      <c r="F349" t="s">
        <v>3130</v>
      </c>
      <c r="G349" s="2" t="s">
        <v>3479</v>
      </c>
      <c r="H349">
        <v>6.999999999999999E-05</v>
      </c>
      <c r="I349">
        <v>7.42E-05</v>
      </c>
      <c r="J349">
        <v>0.0001442</v>
      </c>
    </row>
    <row r="350" spans="1:10">
      <c r="A350">
        <f>HYPERLINK("https://mega.nz/file/7Nt1QIpb#nEcvzLU9pwA6fxN1iFMfoPsE6q9_5MXt1fFUvBx7WdY", "Magic and Spells")</f>
        <v>0</v>
      </c>
      <c r="B350" t="s">
        <v>44</v>
      </c>
      <c r="C350" t="s">
        <v>830</v>
      </c>
      <c r="D350" t="s">
        <v>2129</v>
      </c>
      <c r="E350" t="s">
        <v>3117</v>
      </c>
      <c r="F350" t="s">
        <v>3131</v>
      </c>
      <c r="G350" s="2" t="s">
        <v>3480</v>
      </c>
      <c r="H350">
        <v>5.88E-05</v>
      </c>
      <c r="I350">
        <v>5.075E-05</v>
      </c>
      <c r="J350">
        <v>0.00010955</v>
      </c>
    </row>
    <row r="351" spans="1:10">
      <c r="A351">
        <f>HYPERLINK("https://mega.nz/file/uFVUBLrT#OkVSz03cZatiuEvWGO45TkQk2ok39FB70hSi-G8VCfo", "Magic and the Inconvenience Factor")</f>
        <v>0</v>
      </c>
      <c r="B351" t="s">
        <v>44</v>
      </c>
      <c r="C351" t="s">
        <v>831</v>
      </c>
      <c r="D351" t="s">
        <v>2130</v>
      </c>
      <c r="E351" t="s">
        <v>3117</v>
      </c>
      <c r="F351" t="s">
        <v>3131</v>
      </c>
      <c r="G351" s="2" t="s">
        <v>3481</v>
      </c>
      <c r="H351">
        <v>6.195E-05</v>
      </c>
      <c r="I351">
        <v>5.18E-05</v>
      </c>
      <c r="J351">
        <v>0.00011375</v>
      </c>
    </row>
    <row r="352" spans="1:10">
      <c r="A352">
        <f>HYPERLINK("https://mega.nz/file/DZMggBjA#IGqzXEk5uSc4ozHysq1My0lDyIbm6Kt7EhPGDmokI8g", "Magic and Wyrd")</f>
        <v>0</v>
      </c>
      <c r="B352" t="s">
        <v>44</v>
      </c>
      <c r="C352" t="s">
        <v>832</v>
      </c>
      <c r="D352" t="s">
        <v>2131</v>
      </c>
      <c r="E352" t="s">
        <v>3117</v>
      </c>
      <c r="F352" t="s">
        <v>3131</v>
      </c>
      <c r="G352" s="2" t="s">
        <v>3482</v>
      </c>
      <c r="H352">
        <v>5.985E-05</v>
      </c>
      <c r="I352">
        <v>5.04E-05</v>
      </c>
      <c r="J352">
        <v>0.00011025</v>
      </c>
    </row>
    <row r="353" spans="1:10">
      <c r="A353">
        <f>HYPERLINK("https://mega.nz/file/XBUzhAQY#28fl8L15qphYygGzKSWbI5fw7_o-A2YwLxW1Kb8bZ5Y", "Magic in ancient Egypt")</f>
        <v>0</v>
      </c>
      <c r="B353" t="s">
        <v>44</v>
      </c>
      <c r="C353" t="s">
        <v>833</v>
      </c>
      <c r="D353" t="s">
        <v>2132</v>
      </c>
      <c r="E353" t="s">
        <v>3117</v>
      </c>
      <c r="F353" t="s">
        <v>3131</v>
      </c>
      <c r="G353" s="2" t="s">
        <v>3483</v>
      </c>
      <c r="H353">
        <v>5.88E-05</v>
      </c>
      <c r="I353">
        <v>5.285E-05</v>
      </c>
      <c r="J353">
        <v>0.00011165</v>
      </c>
    </row>
    <row r="354" spans="1:10">
      <c r="A354">
        <f>HYPERLINK("https://mega.nz/file/mMtlnR4K#PRNUJCP6JIv7TFnMcd8cYdCf1GLGVazavL5yz7ViTyU", "Magic of Illuminnates")</f>
        <v>0</v>
      </c>
      <c r="B354" t="s">
        <v>44</v>
      </c>
      <c r="C354" t="s">
        <v>834</v>
      </c>
      <c r="D354" t="s">
        <v>2133</v>
      </c>
      <c r="E354" t="s">
        <v>3117</v>
      </c>
      <c r="F354" t="s">
        <v>3131</v>
      </c>
      <c r="G354" s="2" t="s">
        <v>3484</v>
      </c>
      <c r="H354">
        <v>6.195E-05</v>
      </c>
      <c r="I354">
        <v>4.865E-05</v>
      </c>
      <c r="J354">
        <v>0.0001106</v>
      </c>
    </row>
    <row r="355" spans="1:10">
      <c r="A355">
        <f>HYPERLINK("https://mega.nz/file/7YFWVLBI#SzW8kpO4ZJ7P9QZVnaJgtREv7XWc0ImejZCC12nEI20", "Magic Of NLP Demystified - A Pragmatic Guide To Communication")</f>
        <v>0</v>
      </c>
      <c r="B355" t="s">
        <v>44</v>
      </c>
      <c r="C355" t="s">
        <v>835</v>
      </c>
      <c r="D355" t="s">
        <v>2134</v>
      </c>
      <c r="E355" t="s">
        <v>3117</v>
      </c>
      <c r="F355" t="s">
        <v>3131</v>
      </c>
      <c r="G355" s="2" t="s">
        <v>3485</v>
      </c>
      <c r="H355">
        <v>6.825000000000001E-05</v>
      </c>
      <c r="I355">
        <v>4.9E-05</v>
      </c>
      <c r="J355">
        <v>0.00011725</v>
      </c>
    </row>
    <row r="356" spans="1:10">
      <c r="A356">
        <f>HYPERLINK("https://mega.nz/file/7Y0HDApA#ZEj3hYXdBX8ILDuUnmW3n524p_P7iIghK0dLeyhm7s0", "Magic of the Future")</f>
        <v>0</v>
      </c>
      <c r="B356" t="s">
        <v>44</v>
      </c>
      <c r="C356" t="s">
        <v>836</v>
      </c>
      <c r="D356" t="s">
        <v>2135</v>
      </c>
      <c r="E356" t="s">
        <v>3117</v>
      </c>
      <c r="F356" t="s">
        <v>3131</v>
      </c>
      <c r="G356" s="2" t="s">
        <v>3486</v>
      </c>
      <c r="H356">
        <v>5.88E-05</v>
      </c>
      <c r="I356">
        <v>5.425E-05</v>
      </c>
      <c r="J356">
        <v>0.00011305</v>
      </c>
    </row>
    <row r="357" spans="1:10">
      <c r="A357">
        <f>HYPERLINK("https://mega.nz/file/mElhBY5S#sERnNDoj5z0q4gbO8etuvF1vrBPWfYF7BlWcc2VBPnk", "Magical Use of Voice")</f>
        <v>0</v>
      </c>
      <c r="B357" t="s">
        <v>44</v>
      </c>
      <c r="C357" t="s">
        <v>837</v>
      </c>
      <c r="D357" t="s">
        <v>2136</v>
      </c>
      <c r="E357" t="s">
        <v>3117</v>
      </c>
      <c r="F357" t="s">
        <v>3131</v>
      </c>
      <c r="G357" s="2" t="s">
        <v>3487</v>
      </c>
      <c r="H357">
        <v>5.985E-05</v>
      </c>
      <c r="I357">
        <v>5.46E-05</v>
      </c>
      <c r="J357">
        <v>0.00011445</v>
      </c>
    </row>
    <row r="358" spans="1:10">
      <c r="A358">
        <f>HYPERLINK("https://mega.nz/file/TFtyWDBS#ernNkfJhI4d-gOhjBgJYCVznEWNHPPTTRI2h4-xbuVs", "Magick - The Order of the GBG")</f>
        <v>0</v>
      </c>
      <c r="B358" t="s">
        <v>44</v>
      </c>
      <c r="C358" t="s">
        <v>838</v>
      </c>
      <c r="D358" t="s">
        <v>2137</v>
      </c>
      <c r="E358" t="s">
        <v>3117</v>
      </c>
      <c r="F358" t="s">
        <v>3131</v>
      </c>
      <c r="G358" s="2" t="s">
        <v>3488</v>
      </c>
      <c r="H358">
        <v>6.405E-05</v>
      </c>
      <c r="I358">
        <v>5.81E-05</v>
      </c>
      <c r="J358">
        <v>0.00012215</v>
      </c>
    </row>
    <row r="359" spans="1:10">
      <c r="A359">
        <f>HYPERLINK("https://mega.nz/file/vE1QRBia#_400euW62hQXlSThSPh2B5GR1flSEcnI4fOCj6nSetQ", "Magick and Hypnosis")</f>
        <v>0</v>
      </c>
      <c r="B359" t="s">
        <v>44</v>
      </c>
      <c r="C359" t="s">
        <v>839</v>
      </c>
      <c r="D359" t="s">
        <v>2138</v>
      </c>
      <c r="E359" t="s">
        <v>3117</v>
      </c>
      <c r="F359" t="s">
        <v>3131</v>
      </c>
      <c r="G359" s="2" t="s">
        <v>3489</v>
      </c>
      <c r="H359">
        <v>6.055E-05</v>
      </c>
      <c r="I359">
        <v>4.9E-05</v>
      </c>
      <c r="J359">
        <v>0.00010955</v>
      </c>
    </row>
    <row r="360" spans="1:10">
      <c r="A360">
        <f>HYPERLINK("https://mega.nz/file/yA8gRC5K#X2ZmUW29-wj3N2b4ZvhLpCitj1R-kxj0sSz3kwxD6Zs", "Magick Path of Tantra")</f>
        <v>0</v>
      </c>
      <c r="B360" t="s">
        <v>44</v>
      </c>
      <c r="C360" t="s">
        <v>840</v>
      </c>
      <c r="D360" t="s">
        <v>2139</v>
      </c>
      <c r="E360" t="s">
        <v>3119</v>
      </c>
      <c r="F360" t="s">
        <v>3131</v>
      </c>
      <c r="G360" s="2" t="s">
        <v>3490</v>
      </c>
      <c r="H360">
        <v>6.09E-05</v>
      </c>
      <c r="I360">
        <v>5.635E-05</v>
      </c>
      <c r="J360">
        <v>0.00011725</v>
      </c>
    </row>
    <row r="361" spans="1:10">
      <c r="A361">
        <f>HYPERLINK("https://mega.nz/file/3RUSgA4Z#nFXGto2rspqNppuCL-G0rC1EHu2ScpbBRiTE7i-c_NY", "Magion el sagrado arte")</f>
        <v>0</v>
      </c>
      <c r="B361" t="s">
        <v>44</v>
      </c>
      <c r="C361" t="s">
        <v>841</v>
      </c>
      <c r="D361" t="s">
        <v>2140</v>
      </c>
      <c r="E361" t="s">
        <v>3117</v>
      </c>
      <c r="F361" t="s">
        <v>3130</v>
      </c>
      <c r="G361" s="2" t="s">
        <v>3491</v>
      </c>
      <c r="H361">
        <v>6.09E-05</v>
      </c>
      <c r="I361">
        <v>7.245E-05</v>
      </c>
      <c r="J361">
        <v>0.00013335</v>
      </c>
    </row>
    <row r="362" spans="1:10">
      <c r="A362">
        <f>HYPERLINK("https://mega.nz/file/rZ00QTiB#MHrm9Bp6uupdErL5CZXZiCIPit9wXmSoXmpvVfgM9Ww", "Magnum Opus of Twilight Yoga")</f>
        <v>0</v>
      </c>
      <c r="B362" t="s">
        <v>44</v>
      </c>
      <c r="C362" t="s">
        <v>842</v>
      </c>
      <c r="D362" t="s">
        <v>2141</v>
      </c>
      <c r="E362" t="s">
        <v>3119</v>
      </c>
      <c r="F362" t="s">
        <v>3131</v>
      </c>
      <c r="G362" s="2" t="s">
        <v>3492</v>
      </c>
      <c r="H362">
        <v>6.09E-05</v>
      </c>
      <c r="I362">
        <v>4.935E-05</v>
      </c>
      <c r="J362">
        <v>0.00011025</v>
      </c>
    </row>
    <row r="363" spans="1:10">
      <c r="A363">
        <f>HYPERLINK("https://mega.nz/file/7F1xhSqD#nWP7xBj1KmUNM09pVBVRB4hzsl2X3k7cT5CqbGDqkkc", "Make a Rune Set")</f>
        <v>0</v>
      </c>
      <c r="B363" t="s">
        <v>44</v>
      </c>
      <c r="C363" t="s">
        <v>843</v>
      </c>
      <c r="D363" t="s">
        <v>2142</v>
      </c>
      <c r="E363" t="s">
        <v>3124</v>
      </c>
      <c r="F363" t="s">
        <v>3131</v>
      </c>
      <c r="G363" s="2" t="s">
        <v>3493</v>
      </c>
      <c r="H363">
        <v>5.88E-05</v>
      </c>
      <c r="I363">
        <v>5.285E-05</v>
      </c>
      <c r="J363">
        <v>0.00011165</v>
      </c>
    </row>
    <row r="364" spans="1:10">
      <c r="A364">
        <f>HYPERLINK("https://mega.nz/file/iUFECDaY#ER-UGpaTxOxAREXjHnWh7RFKO96Hl6L7Jd9oRJn1NmE", "Malleus Maleficarum")</f>
        <v>0</v>
      </c>
      <c r="B364" t="s">
        <v>44</v>
      </c>
      <c r="C364" t="s">
        <v>844</v>
      </c>
      <c r="D364" t="s">
        <v>2143</v>
      </c>
      <c r="E364" t="s">
        <v>3117</v>
      </c>
      <c r="F364" t="s">
        <v>3131</v>
      </c>
      <c r="G364" s="2" t="s">
        <v>3494</v>
      </c>
      <c r="H364">
        <v>6.265E-05</v>
      </c>
      <c r="I364">
        <v>6.3E-05</v>
      </c>
      <c r="J364">
        <v>0.00012565</v>
      </c>
    </row>
    <row r="365" spans="1:10">
      <c r="A365">
        <f>HYPERLINK("https://mega.nz/file/qF8xCTDC#d0TPeQLkd_BKMLtpbhIdgcvAcvFNHQCVj6hySZCAv2M", "Malleus Maleficarum")</f>
        <v>0</v>
      </c>
      <c r="B365" t="s">
        <v>44</v>
      </c>
      <c r="C365" t="s">
        <v>844</v>
      </c>
      <c r="D365" t="s">
        <v>2144</v>
      </c>
      <c r="E365" t="s">
        <v>3117</v>
      </c>
      <c r="F365" t="s">
        <v>3131</v>
      </c>
      <c r="G365" s="2" t="s">
        <v>3495</v>
      </c>
      <c r="H365">
        <v>6.195E-05</v>
      </c>
      <c r="I365">
        <v>6.37E-05</v>
      </c>
      <c r="J365">
        <v>0.00012565</v>
      </c>
    </row>
    <row r="366" spans="1:10">
      <c r="A366">
        <f>HYPERLINK("https://mega.nz/file/XV0ngTaY#HptalC59hlKfb8z4ryWr31fYO5ZPKwLOgWDVdo1b6P4", "Malleus Maleficarum")</f>
        <v>0</v>
      </c>
      <c r="B366" t="s">
        <v>44</v>
      </c>
      <c r="C366" t="s">
        <v>844</v>
      </c>
      <c r="D366" t="s">
        <v>2145</v>
      </c>
      <c r="E366" t="s">
        <v>3117</v>
      </c>
      <c r="F366" t="s">
        <v>3131</v>
      </c>
      <c r="G366" s="2" t="s">
        <v>3496</v>
      </c>
      <c r="H366">
        <v>6.23E-05</v>
      </c>
      <c r="I366">
        <v>6.160000000000001E-05</v>
      </c>
      <c r="J366">
        <v>0.0001239</v>
      </c>
    </row>
    <row r="367" spans="1:10">
      <c r="A367">
        <f>HYPERLINK("https://mega.nz/file/DV8kBSjD#hPX-igeBxFnwDRZgfRUpnNKoVhDwDi-TvHJzo-Tb-ds", "Malleus Maleficarum 2")</f>
        <v>0</v>
      </c>
      <c r="B367" t="s">
        <v>44</v>
      </c>
      <c r="C367" t="s">
        <v>845</v>
      </c>
      <c r="D367" t="s">
        <v>2146</v>
      </c>
      <c r="E367" t="s">
        <v>3117</v>
      </c>
      <c r="F367" t="s">
        <v>3131</v>
      </c>
      <c r="G367" s="2" t="s">
        <v>3497</v>
      </c>
      <c r="H367">
        <v>6.405E-05</v>
      </c>
      <c r="I367">
        <v>5.25E-05</v>
      </c>
      <c r="J367">
        <v>0.00011655</v>
      </c>
    </row>
    <row r="368" spans="1:10">
      <c r="A368">
        <f>HYPERLINK("https://mega.nz/file/TQUgVAjL#znjSXn5Z-RUSI71eXBdByW3fvkKzv0PmdEneMHMaLe4", "Mantras")</f>
        <v>0</v>
      </c>
      <c r="B368" t="s">
        <v>44</v>
      </c>
      <c r="C368" t="s">
        <v>846</v>
      </c>
      <c r="D368" t="s">
        <v>2147</v>
      </c>
      <c r="E368" t="s">
        <v>3117</v>
      </c>
      <c r="F368" t="s">
        <v>3131</v>
      </c>
      <c r="G368" s="2" t="s">
        <v>3498</v>
      </c>
      <c r="H368">
        <v>5.67E-05</v>
      </c>
      <c r="I368">
        <v>4.795E-05</v>
      </c>
      <c r="J368">
        <v>0.00010465</v>
      </c>
    </row>
    <row r="369" spans="1:10">
      <c r="A369">
        <f>HYPERLINK("https://mega.nz/file/qJUGCRwa#Y4PVXx8PltIxIXDjU7d8B8Na-ccSPs_8O5Uvjgf9Or8", "Manual De Acupuntura - Medicina")</f>
        <v>0</v>
      </c>
      <c r="B369" t="s">
        <v>44</v>
      </c>
      <c r="C369" t="s">
        <v>847</v>
      </c>
      <c r="D369" t="s">
        <v>2148</v>
      </c>
      <c r="E369" t="s">
        <v>3117</v>
      </c>
      <c r="F369" t="s">
        <v>3130</v>
      </c>
      <c r="G369" s="2" t="s">
        <v>3499</v>
      </c>
      <c r="H369">
        <v>6.475E-05</v>
      </c>
      <c r="I369">
        <v>7.245E-05</v>
      </c>
      <c r="J369">
        <v>0.0001372</v>
      </c>
    </row>
    <row r="370" spans="1:10">
      <c r="A370">
        <f>HYPERLINK("https://mega.nz/file/vUdEyTxA#FHyw_2qWo3sSfMCTGwAEtVibgPE17Zr0OOAibCsTk0c", "Manual de Brujeria y Hechiceria")</f>
        <v>0</v>
      </c>
      <c r="B370" t="s">
        <v>44</v>
      </c>
      <c r="C370" t="s">
        <v>848</v>
      </c>
      <c r="D370" t="s">
        <v>2149</v>
      </c>
      <c r="E370" t="s">
        <v>3117</v>
      </c>
      <c r="F370" t="s">
        <v>3130</v>
      </c>
      <c r="G370" s="2" t="s">
        <v>3500</v>
      </c>
      <c r="H370">
        <v>6.405E-05</v>
      </c>
      <c r="I370">
        <v>7.14E-05</v>
      </c>
      <c r="J370">
        <v>0.00013545</v>
      </c>
    </row>
    <row r="371" spans="1:10">
      <c r="A371">
        <f>HYPERLINK("https://mega.nz/file/XREC2YZa#CLFl8LyGHSlN17U4g-OoX9bJANRSo5QceCkVUXEGUTE", "Manual de Inquisidores")</f>
        <v>0</v>
      </c>
      <c r="B371" t="s">
        <v>44</v>
      </c>
      <c r="C371" t="s">
        <v>849</v>
      </c>
      <c r="D371" t="s">
        <v>2150</v>
      </c>
      <c r="E371" t="s">
        <v>3117</v>
      </c>
      <c r="F371" t="s">
        <v>3130</v>
      </c>
      <c r="G371" s="2" t="s">
        <v>3501</v>
      </c>
      <c r="H371">
        <v>5.985E-05</v>
      </c>
      <c r="I371">
        <v>6.93E-05</v>
      </c>
      <c r="J371">
        <v>0.00012915</v>
      </c>
    </row>
    <row r="372" spans="1:10">
      <c r="A372">
        <f>HYPERLINK("https://mega.nz/file/bANCCQCb#yOsdFxSr8TlVqmtWN_alEb2XVZH39WkVQOZ62IYksJw", "Manual de magia practica")</f>
        <v>0</v>
      </c>
      <c r="B372" t="s">
        <v>44</v>
      </c>
      <c r="C372" t="s">
        <v>850</v>
      </c>
      <c r="D372" t="s">
        <v>2151</v>
      </c>
      <c r="E372" t="s">
        <v>3117</v>
      </c>
      <c r="F372" t="s">
        <v>3130</v>
      </c>
      <c r="G372" s="2" t="s">
        <v>3502</v>
      </c>
      <c r="H372">
        <v>5.88E-05</v>
      </c>
      <c r="I372">
        <v>6.125E-05</v>
      </c>
      <c r="J372">
        <v>0.00012005</v>
      </c>
    </row>
    <row r="373" spans="1:10">
      <c r="A373">
        <f>HYPERLINK("https://mega.nz/file/CUdSUBKC#Fy3ujUxSyQ17s27GoGSFkbCgBtSj1wS1OiHNERIQkSg", "Mars Cocidius and the Redcaps in Lancashire")</f>
        <v>0</v>
      </c>
      <c r="B373" t="s">
        <v>44</v>
      </c>
      <c r="C373" t="s">
        <v>851</v>
      </c>
      <c r="D373" t="s">
        <v>2152</v>
      </c>
      <c r="E373" t="s">
        <v>3117</v>
      </c>
      <c r="F373" t="s">
        <v>3131</v>
      </c>
      <c r="G373" s="2" t="s">
        <v>3503</v>
      </c>
      <c r="H373">
        <v>6.51E-05</v>
      </c>
      <c r="I373">
        <v>5.775E-05</v>
      </c>
      <c r="J373">
        <v>0.00012285</v>
      </c>
    </row>
    <row r="374" spans="1:10">
      <c r="A374">
        <f>HYPERLINK("https://mega.nz/file/bMMgCZoB#QWx3AvZMcKRa8PeaVdVhZvBwwL6OU3H2i6sW5fHtUJg", "Meaning and History")</f>
        <v>0</v>
      </c>
      <c r="B374" t="s">
        <v>44</v>
      </c>
      <c r="C374" t="s">
        <v>852</v>
      </c>
      <c r="D374" t="s">
        <v>2153</v>
      </c>
      <c r="E374" t="s">
        <v>3117</v>
      </c>
      <c r="F374" t="s">
        <v>3131</v>
      </c>
      <c r="G374" s="2" t="s">
        <v>3504</v>
      </c>
      <c r="H374">
        <v>5.95E-05</v>
      </c>
      <c r="I374">
        <v>4.83E-05</v>
      </c>
      <c r="J374">
        <v>0.0001078</v>
      </c>
    </row>
    <row r="375" spans="1:10">
      <c r="A375">
        <f>HYPERLINK("https://mega.nz/file/jctilDqT#oJR-zFoLKC8jzsKjsVme0or0XR9DTePQeCO8nYNO-gY", "Meanings of the Runes")</f>
        <v>0</v>
      </c>
      <c r="B375" t="s">
        <v>44</v>
      </c>
      <c r="C375" t="s">
        <v>853</v>
      </c>
      <c r="D375" t="s">
        <v>2154</v>
      </c>
      <c r="E375" t="s">
        <v>3124</v>
      </c>
      <c r="F375" t="s">
        <v>3131</v>
      </c>
      <c r="G375" s="2" t="s">
        <v>3505</v>
      </c>
      <c r="H375">
        <v>6.09E-05</v>
      </c>
      <c r="I375">
        <v>5.145E-05</v>
      </c>
      <c r="J375">
        <v>0.00011235</v>
      </c>
    </row>
    <row r="376" spans="1:10">
      <c r="A376">
        <f>HYPERLINK("https://mega.nz/file/iYd2xJYY#m0DnEbUfmpkX-txQaBTvTbXoUEQkgBGbop_gALHc3LQ", "Medicina Vibracional")</f>
        <v>0</v>
      </c>
      <c r="B376" t="s">
        <v>44</v>
      </c>
      <c r="C376" t="s">
        <v>854</v>
      </c>
      <c r="D376" t="s">
        <v>2155</v>
      </c>
      <c r="E376" t="s">
        <v>3117</v>
      </c>
      <c r="F376" t="s">
        <v>3131</v>
      </c>
      <c r="G376" s="2" t="s">
        <v>3506</v>
      </c>
      <c r="H376">
        <v>6.545000000000001E-05</v>
      </c>
      <c r="I376">
        <v>5.985E-05</v>
      </c>
      <c r="J376">
        <v>0.0001253</v>
      </c>
    </row>
    <row r="377" spans="1:10">
      <c r="A377">
        <f>HYPERLINK("https://mega.nz/file/OZ0hgJrC#jqlcc4r9yAJrPvrbenOCgvPiww9J48kkXNPWgjlSJ1U", "Meditation Handbook")</f>
        <v>0</v>
      </c>
      <c r="B377" t="s">
        <v>44</v>
      </c>
      <c r="C377" t="s">
        <v>855</v>
      </c>
      <c r="D377" t="s">
        <v>2156</v>
      </c>
      <c r="E377" t="s">
        <v>3117</v>
      </c>
      <c r="F377" t="s">
        <v>3131</v>
      </c>
      <c r="G377" s="2" t="s">
        <v>3507</v>
      </c>
      <c r="H377">
        <v>5.775E-05</v>
      </c>
      <c r="I377">
        <v>4.97E-05</v>
      </c>
      <c r="J377">
        <v>0.00010745</v>
      </c>
    </row>
    <row r="378" spans="1:10">
      <c r="A378">
        <f>HYPERLINK("https://mega.nz/file/TRF1iS4Z#DgP7GZ--VfTo1FbkY2xmh5LPOu2H2aU2rk65ajQCs80", "Merkaba - Star Tetrahedron - Flower of Life")</f>
        <v>0</v>
      </c>
      <c r="B378" t="s">
        <v>44</v>
      </c>
      <c r="C378" t="s">
        <v>856</v>
      </c>
      <c r="D378" t="s">
        <v>2157</v>
      </c>
      <c r="E378" t="s">
        <v>3117</v>
      </c>
      <c r="F378" t="s">
        <v>3131</v>
      </c>
      <c r="G378" s="2" t="s">
        <v>3508</v>
      </c>
      <c r="H378">
        <v>6.51E-05</v>
      </c>
      <c r="I378">
        <v>5.95E-05</v>
      </c>
      <c r="J378">
        <v>0.0001246</v>
      </c>
    </row>
    <row r="379" spans="1:10">
      <c r="A379">
        <f>HYPERLINK("https://mega.nz/file/iFkAXRJR#r4lOThK0OrE4w3iB5dxrqMLrWIl6tNARjpmxUxx_1gg", "Metatron")</f>
        <v>0</v>
      </c>
      <c r="B379" t="s">
        <v>44</v>
      </c>
      <c r="C379" t="s">
        <v>857</v>
      </c>
      <c r="D379" t="s">
        <v>2158</v>
      </c>
      <c r="E379" t="s">
        <v>3117</v>
      </c>
      <c r="F379" t="s">
        <v>3131</v>
      </c>
      <c r="G379" s="2" t="s">
        <v>3509</v>
      </c>
      <c r="H379">
        <v>5.775E-05</v>
      </c>
      <c r="I379">
        <v>4.725E-05</v>
      </c>
      <c r="J379">
        <v>0.000105</v>
      </c>
    </row>
    <row r="380" spans="1:10">
      <c r="A380">
        <f>HYPERLINK("https://mega.nz/file/bZ0HlSrK#26zzJ1-mkli0Zy8-tWwFvLEor71yO2x38BSoH1Zi_7Q", "Midnights Circle - A Commentary of AZOTHOZ")</f>
        <v>0</v>
      </c>
      <c r="B380" t="s">
        <v>44</v>
      </c>
      <c r="C380" t="s">
        <v>858</v>
      </c>
      <c r="D380" t="s">
        <v>2159</v>
      </c>
      <c r="E380" t="s">
        <v>3117</v>
      </c>
      <c r="F380" t="s">
        <v>3131</v>
      </c>
      <c r="G380" s="2" t="s">
        <v>3510</v>
      </c>
      <c r="H380">
        <v>6.615E-05</v>
      </c>
      <c r="I380">
        <v>5.6E-05</v>
      </c>
      <c r="J380">
        <v>0.00012215</v>
      </c>
    </row>
    <row r="381" spans="1:10">
      <c r="A381">
        <f>HYPERLINK("https://mega.nz/file/rcU3iRxa#Ge68uPF2RARNDJceObwItEYV5P2gEGYI9KtwVJ3am_k", "Mind Change Techniques")</f>
        <v>0</v>
      </c>
      <c r="B381" t="s">
        <v>44</v>
      </c>
      <c r="C381" t="s">
        <v>859</v>
      </c>
      <c r="D381" t="s">
        <v>2160</v>
      </c>
      <c r="E381" t="s">
        <v>3117</v>
      </c>
      <c r="F381" t="s">
        <v>3131</v>
      </c>
      <c r="G381" s="2" t="s">
        <v>3511</v>
      </c>
      <c r="H381">
        <v>5.845E-05</v>
      </c>
      <c r="I381">
        <v>4.97E-05</v>
      </c>
      <c r="J381">
        <v>0.00010815</v>
      </c>
    </row>
    <row r="382" spans="1:10">
      <c r="A382">
        <f>HYPERLINK("https://mega.nz/file/2IcgRaqK#nzwV8pUXO8Bzcc0rS8CTqw-gmbAlGq3FMRuMmmHZzQw", "Mind Its Mysteries and Control")</f>
        <v>0</v>
      </c>
      <c r="B382" t="s">
        <v>44</v>
      </c>
      <c r="C382" t="s">
        <v>860</v>
      </c>
      <c r="D382" t="s">
        <v>2161</v>
      </c>
      <c r="E382" t="s">
        <v>3117</v>
      </c>
      <c r="F382" t="s">
        <v>3131</v>
      </c>
      <c r="G382" s="2" t="s">
        <v>3512</v>
      </c>
      <c r="H382">
        <v>5.985E-05</v>
      </c>
      <c r="I382">
        <v>4.9E-05</v>
      </c>
      <c r="J382">
        <v>0.00010885</v>
      </c>
    </row>
    <row r="383" spans="1:10">
      <c r="A383">
        <f>HYPERLINK("https://mega.nz/file/aJsEgbxK#Ad8dBF8PPfUpu2pzxZRjfrq-5kAfC7Hwqp1UuGzNi0M", "Mind Powers - How to Use and Control Your Unlimited Potential")</f>
        <v>0</v>
      </c>
      <c r="B383" t="s">
        <v>44</v>
      </c>
      <c r="C383" t="s">
        <v>861</v>
      </c>
      <c r="D383" t="s">
        <v>2162</v>
      </c>
      <c r="E383" t="s">
        <v>3117</v>
      </c>
      <c r="F383" t="s">
        <v>3131</v>
      </c>
      <c r="G383" s="2" t="s">
        <v>3513</v>
      </c>
      <c r="H383">
        <v>6.615E-05</v>
      </c>
      <c r="I383">
        <v>5.95E-05</v>
      </c>
      <c r="J383">
        <v>0.00012565</v>
      </c>
    </row>
    <row r="384" spans="1:10">
      <c r="A384">
        <f>HYPERLINK("https://mega.nz/file/6VlzSKbb#9qxYQ_IUlZtbFKJ4xsvjMpQ8iFlSqG_HHIhmeWphuXc", "Mircea Eliade and the Kundalini")</f>
        <v>0</v>
      </c>
      <c r="B384" t="s">
        <v>44</v>
      </c>
      <c r="C384" t="s">
        <v>862</v>
      </c>
      <c r="D384" t="s">
        <v>2163</v>
      </c>
      <c r="E384" t="s">
        <v>3117</v>
      </c>
      <c r="F384" t="s">
        <v>3131</v>
      </c>
      <c r="G384" s="2" t="s">
        <v>3514</v>
      </c>
      <c r="H384">
        <v>6.3E-05</v>
      </c>
      <c r="I384">
        <v>5.145E-05</v>
      </c>
      <c r="J384">
        <v>0.00011445</v>
      </c>
    </row>
    <row r="385" spans="1:10">
      <c r="A385">
        <f>HYPERLINK("https://mega.nz/file/fAtBATjb#0ku6u3g7osXDIjDPMxhNlRqP24zou1tJOO9iEOBO4to", "Munich Manual")</f>
        <v>0</v>
      </c>
      <c r="B385" t="s">
        <v>44</v>
      </c>
      <c r="C385" t="s">
        <v>863</v>
      </c>
      <c r="D385" t="s">
        <v>2164</v>
      </c>
      <c r="E385" t="s">
        <v>3117</v>
      </c>
      <c r="F385" t="s">
        <v>3131</v>
      </c>
      <c r="G385" s="2" t="s">
        <v>3515</v>
      </c>
      <c r="H385">
        <v>6.055E-05</v>
      </c>
      <c r="I385">
        <v>5.25E-05</v>
      </c>
      <c r="J385">
        <v>0.00011305</v>
      </c>
    </row>
    <row r="386" spans="1:10">
      <c r="A386">
        <f>HYPERLINK("https://mega.nz/file/GEcjAQJa#16NJYM89xf4oF6TtYCjdiFt0Mm8fqM_2Z1uKXWE28xw", "Mutus Liber Latomorum")</f>
        <v>0</v>
      </c>
      <c r="B386" t="s">
        <v>44</v>
      </c>
      <c r="C386" t="s">
        <v>864</v>
      </c>
      <c r="D386" t="s">
        <v>2165</v>
      </c>
      <c r="E386" t="s">
        <v>3117</v>
      </c>
      <c r="F386" t="s">
        <v>3131</v>
      </c>
      <c r="G386" s="2" t="s">
        <v>3516</v>
      </c>
      <c r="H386">
        <v>6.334999999999999E-05</v>
      </c>
      <c r="I386">
        <v>5.565E-05</v>
      </c>
      <c r="J386">
        <v>0.000119</v>
      </c>
    </row>
    <row r="387" spans="1:10">
      <c r="A387">
        <f>HYPERLINK("https://mega.nz/file/mAtSXDjD#GvbncQFD0FSCC5VCRacf01oVsc0A70G5kX1cWuCLAWo", "Mysteria 1")</f>
        <v>0</v>
      </c>
      <c r="B387" t="s">
        <v>44</v>
      </c>
      <c r="C387" t="s">
        <v>865</v>
      </c>
      <c r="D387" t="s">
        <v>2166</v>
      </c>
      <c r="E387" t="s">
        <v>3117</v>
      </c>
      <c r="F387" t="s">
        <v>3131</v>
      </c>
      <c r="G387" s="2" t="s">
        <v>3517</v>
      </c>
      <c r="H387">
        <v>5.88E-05</v>
      </c>
      <c r="I387">
        <v>4.935E-05</v>
      </c>
      <c r="J387">
        <v>0.00010815</v>
      </c>
    </row>
    <row r="388" spans="1:10">
      <c r="A388">
        <f>HYPERLINK("https://mega.nz/file/PBE1GTqA#QPh10u8Njz2t5JmN3F0SfeG6TvXdov5407qHla9QNS0", "Myth of the Burning Times")</f>
        <v>0</v>
      </c>
      <c r="B388" t="s">
        <v>44</v>
      </c>
      <c r="C388" t="s">
        <v>866</v>
      </c>
      <c r="D388" t="s">
        <v>2167</v>
      </c>
      <c r="E388" t="s">
        <v>3117</v>
      </c>
      <c r="F388" t="s">
        <v>3131</v>
      </c>
      <c r="G388" s="2" t="s">
        <v>3518</v>
      </c>
      <c r="H388">
        <v>5.985E-05</v>
      </c>
      <c r="I388">
        <v>5.18E-05</v>
      </c>
      <c r="J388">
        <v>0.00011165</v>
      </c>
    </row>
    <row r="389" spans="1:10">
      <c r="A389">
        <f>HYPERLINK("https://mega.nz/file/fJMz1Qhb#_3l5qxC6rbx282I9rU_B-yd-49XjjyS63-SZ_vu8Vv4", "Necronomicon - THE R'LYEH TEXT")</f>
        <v>0</v>
      </c>
      <c r="B389" t="s">
        <v>44</v>
      </c>
      <c r="C389" t="s">
        <v>867</v>
      </c>
      <c r="D389" t="s">
        <v>2168</v>
      </c>
      <c r="E389" t="s">
        <v>3117</v>
      </c>
      <c r="F389" t="s">
        <v>3131</v>
      </c>
      <c r="G389" s="2" t="s">
        <v>3519</v>
      </c>
      <c r="H389">
        <v>6.51E-05</v>
      </c>
      <c r="I389">
        <v>6.685E-05</v>
      </c>
      <c r="J389">
        <v>0.00013195</v>
      </c>
    </row>
    <row r="390" spans="1:10">
      <c r="A390">
        <f>HYPERLINK("https://mega.nz/file/WUE2DbZA#xaQgur-_ckJWWZVc-AiC2nf9L1YwX6EaVPsoHCC17Jk", "Nephilim, Nefilim, Elohim, Annunaki")</f>
        <v>0</v>
      </c>
      <c r="B390" t="s">
        <v>44</v>
      </c>
      <c r="C390" t="s">
        <v>868</v>
      </c>
      <c r="D390" t="s">
        <v>2169</v>
      </c>
      <c r="E390" t="s">
        <v>3117</v>
      </c>
      <c r="F390" t="s">
        <v>3131</v>
      </c>
      <c r="G390" s="2" t="s">
        <v>3520</v>
      </c>
      <c r="H390">
        <v>6.93E-05</v>
      </c>
      <c r="I390">
        <v>5.32E-05</v>
      </c>
      <c r="J390">
        <v>0.0001225</v>
      </c>
    </row>
    <row r="391" spans="1:10">
      <c r="A391">
        <f>HYPERLINK("https://mega.nz/file/7U92wZCK#nCVCbxy6WFBdGO2owepOdnLwD6LAVL6k9aN_u_n-MRk", "New Energy Ways")</f>
        <v>0</v>
      </c>
      <c r="B391" t="s">
        <v>44</v>
      </c>
      <c r="C391" t="s">
        <v>869</v>
      </c>
      <c r="D391" t="s">
        <v>2170</v>
      </c>
      <c r="E391" t="s">
        <v>3117</v>
      </c>
      <c r="F391" t="s">
        <v>3131</v>
      </c>
      <c r="G391" s="2" t="s">
        <v>3521</v>
      </c>
      <c r="H391">
        <v>5.775E-05</v>
      </c>
      <c r="I391">
        <v>5.25E-05</v>
      </c>
      <c r="J391">
        <v>0.00011025</v>
      </c>
    </row>
    <row r="392" spans="1:10">
      <c r="A392">
        <f>HYPERLINK("https://mega.nz/file/KM8WmRYb#xWPr-2L2kUw7KmgzkKyQXghuErQoGhTVpFSBx1Vzr-c", "Next of Kin to Chaos")</f>
        <v>0</v>
      </c>
      <c r="B392" t="s">
        <v>44</v>
      </c>
      <c r="C392" t="s">
        <v>870</v>
      </c>
      <c r="D392" t="s">
        <v>2171</v>
      </c>
      <c r="E392" t="s">
        <v>3117</v>
      </c>
      <c r="F392" t="s">
        <v>3131</v>
      </c>
      <c r="G392" s="2" t="s">
        <v>3522</v>
      </c>
      <c r="H392">
        <v>5.985E-05</v>
      </c>
      <c r="I392">
        <v>5.6E-05</v>
      </c>
      <c r="J392">
        <v>0.00011585</v>
      </c>
    </row>
    <row r="393" spans="1:10">
      <c r="A393">
        <f>HYPERLINK("https://mega.nz/file/uYsCkAxC#IsTye9MUHRRvRJkrEU2-TFGAk5zHxYVZDiAteuQYMNo", "Night Magick")</f>
        <v>0</v>
      </c>
      <c r="B393" t="s">
        <v>44</v>
      </c>
      <c r="C393" t="s">
        <v>871</v>
      </c>
      <c r="D393" t="s">
        <v>2172</v>
      </c>
      <c r="E393" t="s">
        <v>3117</v>
      </c>
      <c r="F393" t="s">
        <v>3131</v>
      </c>
      <c r="G393" s="2" t="s">
        <v>3523</v>
      </c>
      <c r="H393">
        <v>5.775E-05</v>
      </c>
      <c r="I393">
        <v>4.55E-05</v>
      </c>
      <c r="J393">
        <v>0.00010325</v>
      </c>
    </row>
    <row r="394" spans="1:10">
      <c r="A394">
        <f>HYPERLINK("https://mega.nz/file/SNEEjLLS#nfBYPVHcth7cb_IuC-DbROrhTA3SNBQ-jq70l6EqPcg", "Nigromancia y mortis")</f>
        <v>0</v>
      </c>
      <c r="B394" t="s">
        <v>44</v>
      </c>
      <c r="C394" t="s">
        <v>872</v>
      </c>
      <c r="D394" t="s">
        <v>2173</v>
      </c>
      <c r="E394" t="s">
        <v>3117</v>
      </c>
      <c r="F394" t="s">
        <v>3130</v>
      </c>
      <c r="G394" s="2" t="s">
        <v>3524</v>
      </c>
      <c r="H394">
        <v>6.195E-05</v>
      </c>
      <c r="I394">
        <v>7.559999999999999E-05</v>
      </c>
      <c r="J394">
        <v>0.00013755</v>
      </c>
    </row>
    <row r="395" spans="1:10">
      <c r="A395">
        <f>HYPERLINK("https://mega.nz/file/qdcTwJ5T#_kQxynF9Md2aG4CdqE510m8hr6bRRkvomg_nDC4_gX8", "Northwoods Document")</f>
        <v>0</v>
      </c>
      <c r="B395" t="s">
        <v>44</v>
      </c>
      <c r="C395" t="s">
        <v>873</v>
      </c>
      <c r="D395" t="s">
        <v>2174</v>
      </c>
      <c r="E395" t="s">
        <v>3117</v>
      </c>
      <c r="F395" t="s">
        <v>3131</v>
      </c>
      <c r="G395" s="2" t="s">
        <v>3525</v>
      </c>
      <c r="H395">
        <v>5.775E-05</v>
      </c>
      <c r="I395">
        <v>5.32E-05</v>
      </c>
      <c r="J395">
        <v>0.00011095</v>
      </c>
    </row>
    <row r="396" spans="1:10">
      <c r="A396">
        <f>HYPERLINK("https://mega.nz/file/PEN3ybhY#-8LMRtjZqTdnmNUNk6PmgAeapZZu3d3IvUGq5G0S8P0", "Notes on Pagan India")</f>
        <v>0</v>
      </c>
      <c r="B396" t="s">
        <v>44</v>
      </c>
      <c r="C396" t="s">
        <v>874</v>
      </c>
      <c r="D396" t="s">
        <v>2175</v>
      </c>
      <c r="E396" t="s">
        <v>3117</v>
      </c>
      <c r="F396" t="s">
        <v>3131</v>
      </c>
      <c r="G396" s="2" t="s">
        <v>3526</v>
      </c>
      <c r="H396">
        <v>5.88E-05</v>
      </c>
      <c r="I396">
        <v>5.425E-05</v>
      </c>
      <c r="J396">
        <v>0.00011305</v>
      </c>
    </row>
    <row r="397" spans="1:10">
      <c r="A397">
        <f>HYPERLINK("https://mega.nz/file/SVM11DAI#QxCIWAMVXqb0pYV0XJXbIiGlksW25AI-lC6_3xNC0_U", "Occult Chemistry")</f>
        <v>0</v>
      </c>
      <c r="B397" t="s">
        <v>44</v>
      </c>
      <c r="C397" t="s">
        <v>875</v>
      </c>
      <c r="D397" t="s">
        <v>2176</v>
      </c>
      <c r="E397" t="s">
        <v>3117</v>
      </c>
      <c r="F397" t="s">
        <v>3131</v>
      </c>
      <c r="G397" s="2" t="s">
        <v>3527</v>
      </c>
      <c r="H397">
        <v>5.775E-05</v>
      </c>
      <c r="I397">
        <v>5.6E-05</v>
      </c>
      <c r="J397">
        <v>0.00011375</v>
      </c>
    </row>
    <row r="398" spans="1:10">
      <c r="A398">
        <f>HYPERLINK("https://mega.nz/file/eQtAQCrD#PsiP4IVvqJo5QEFd40WJ-aS1VF6jMuMN975v7Z6wnlo", "Occult Magic")</f>
        <v>0</v>
      </c>
      <c r="B398" t="s">
        <v>44</v>
      </c>
      <c r="C398" t="s">
        <v>876</v>
      </c>
      <c r="D398" t="s">
        <v>2177</v>
      </c>
      <c r="E398" t="s">
        <v>3117</v>
      </c>
      <c r="F398" t="s">
        <v>3131</v>
      </c>
      <c r="G398" s="2" t="s">
        <v>3528</v>
      </c>
      <c r="H398">
        <v>5.95E-05</v>
      </c>
      <c r="I398">
        <v>5.11E-05</v>
      </c>
      <c r="J398">
        <v>0.0001106</v>
      </c>
    </row>
    <row r="399" spans="1:10">
      <c r="A399">
        <f>HYPERLINK("https://mega.nz/file/DJEiFK7Q#JcmQAUrZZMrFUT4z7ynk0iXs9BxJNuzfGa80Ojr_2pY", "Occult Societies")</f>
        <v>0</v>
      </c>
      <c r="B399" t="s">
        <v>44</v>
      </c>
      <c r="C399" t="s">
        <v>877</v>
      </c>
      <c r="D399" t="s">
        <v>2178</v>
      </c>
      <c r="E399" t="s">
        <v>3117</v>
      </c>
      <c r="F399" t="s">
        <v>3131</v>
      </c>
      <c r="G399" s="2" t="s">
        <v>3529</v>
      </c>
      <c r="H399">
        <v>5.775E-05</v>
      </c>
      <c r="I399">
        <v>4.9E-05</v>
      </c>
      <c r="J399">
        <v>0.00010675</v>
      </c>
    </row>
    <row r="400" spans="1:10">
      <c r="A400">
        <f>HYPERLINK("https://mega.nz/file/nJMzxIgD#GwFZ4MKjMPTP-zPHyrfffjTYIadSKbd94a8c9E6dYmA", "Occult Technology of Power")</f>
        <v>0</v>
      </c>
      <c r="B400" t="s">
        <v>44</v>
      </c>
      <c r="C400" t="s">
        <v>878</v>
      </c>
      <c r="D400" t="s">
        <v>2179</v>
      </c>
      <c r="E400" t="s">
        <v>3117</v>
      </c>
      <c r="F400" t="s">
        <v>3131</v>
      </c>
      <c r="G400" s="2" t="s">
        <v>3530</v>
      </c>
      <c r="H400">
        <v>6.055E-05</v>
      </c>
      <c r="I400">
        <v>5.18E-05</v>
      </c>
      <c r="J400">
        <v>0.00011235</v>
      </c>
    </row>
    <row r="401" spans="1:10">
      <c r="A401">
        <f>HYPERLINK("https://mega.nz/file/CAEwjI5Z#OeXviLi1RwjTdDPBD72ojbGFVcs2RJSFwYbWjXS35Vw", "Old Egyptian Medical Papyri")</f>
        <v>0</v>
      </c>
      <c r="B401" t="s">
        <v>44</v>
      </c>
      <c r="C401" t="s">
        <v>879</v>
      </c>
      <c r="D401" t="s">
        <v>2180</v>
      </c>
      <c r="E401" t="s">
        <v>3128</v>
      </c>
      <c r="F401" t="s">
        <v>3131</v>
      </c>
      <c r="G401" s="2" t="s">
        <v>3531</v>
      </c>
      <c r="H401">
        <v>6.195E-05</v>
      </c>
      <c r="I401">
        <v>5.215E-05</v>
      </c>
      <c r="J401">
        <v>0.0001141</v>
      </c>
    </row>
    <row r="402" spans="1:10">
      <c r="A402">
        <f>HYPERLINK("https://mega.nz/file/nMUwCQRI#BwAa5WrqBcMVpoSeT54T05yH3-SNE8vXVZYHmor02Uo", "Omraam-Mikhael-La-Intuicion")</f>
        <v>0</v>
      </c>
      <c r="B402" t="s">
        <v>44</v>
      </c>
      <c r="C402" t="s">
        <v>880</v>
      </c>
      <c r="D402" t="s">
        <v>2181</v>
      </c>
      <c r="E402" t="s">
        <v>3117</v>
      </c>
      <c r="F402" t="s">
        <v>3131</v>
      </c>
      <c r="G402" s="2" t="s">
        <v>3532</v>
      </c>
      <c r="H402">
        <v>0</v>
      </c>
      <c r="I402">
        <v>5.74E-05</v>
      </c>
      <c r="J402">
        <v>5.74E-05</v>
      </c>
    </row>
    <row r="403" spans="1:10">
      <c r="A403">
        <f>HYPERLINK("https://mega.nz/file/XAV0jCxZ#Fyq91VRVLeAkWSBa4l6cW41FNdm9VcmMQweFnSEfqvk", "On Communication with Set")</f>
        <v>0</v>
      </c>
      <c r="B403" t="s">
        <v>44</v>
      </c>
      <c r="C403" t="s">
        <v>881</v>
      </c>
      <c r="D403" t="s">
        <v>2182</v>
      </c>
      <c r="E403" t="s">
        <v>3117</v>
      </c>
      <c r="F403" t="s">
        <v>3131</v>
      </c>
      <c r="G403" s="2" t="s">
        <v>3533</v>
      </c>
      <c r="H403">
        <v>5.88E-05</v>
      </c>
      <c r="I403">
        <v>5.775E-05</v>
      </c>
      <c r="J403">
        <v>0.00011655</v>
      </c>
    </row>
    <row r="404" spans="1:10">
      <c r="A404">
        <f>HYPERLINK("https://mega.nz/file/6Qt3WJrI#5qAzxBTeBHNN_SuxNy2zXt-en894TaT1J9eJ1hBEzOs", "On Set")</f>
        <v>0</v>
      </c>
      <c r="B404" t="s">
        <v>44</v>
      </c>
      <c r="C404" t="s">
        <v>882</v>
      </c>
      <c r="D404" t="s">
        <v>2183</v>
      </c>
      <c r="E404" t="s">
        <v>3117</v>
      </c>
      <c r="F404" t="s">
        <v>3131</v>
      </c>
      <c r="G404" s="2" t="s">
        <v>3534</v>
      </c>
      <c r="H404">
        <v>5.67E-05</v>
      </c>
      <c r="I404">
        <v>5.145E-05</v>
      </c>
      <c r="J404">
        <v>0.00010815</v>
      </c>
    </row>
    <row r="405" spans="1:10">
      <c r="A405">
        <f>HYPERLINK("https://mega.nz/file/zcMSkAAR#OETnd3tiY2rhRbQWV-ACN4qmwwtkTuNZL28GFCliQQ0", "On the Corpus Hermeticum")</f>
        <v>0</v>
      </c>
      <c r="B405" t="s">
        <v>44</v>
      </c>
      <c r="C405" t="s">
        <v>883</v>
      </c>
      <c r="D405" t="s">
        <v>2184</v>
      </c>
      <c r="E405" t="s">
        <v>3126</v>
      </c>
      <c r="F405" t="s">
        <v>3131</v>
      </c>
      <c r="G405" s="2" t="s">
        <v>3535</v>
      </c>
      <c r="H405">
        <v>6.09E-05</v>
      </c>
      <c r="I405">
        <v>5.355E-05</v>
      </c>
      <c r="J405">
        <v>0.00011445</v>
      </c>
    </row>
    <row r="406" spans="1:10">
      <c r="A406">
        <f>HYPERLINK("https://mega.nz/file/iU8QGBpD#3poP10kY_KzdS8_2WiRC4GJsr2woe0BZx4fCZnMqcM0", "On the Cosmic Hunt in North Eurasian Rock Art")</f>
        <v>0</v>
      </c>
      <c r="B406" t="s">
        <v>44</v>
      </c>
      <c r="C406" t="s">
        <v>884</v>
      </c>
      <c r="D406" t="s">
        <v>2185</v>
      </c>
      <c r="E406" t="s">
        <v>3117</v>
      </c>
      <c r="F406" t="s">
        <v>3131</v>
      </c>
      <c r="G406" s="2" t="s">
        <v>3536</v>
      </c>
      <c r="H406">
        <v>6.545000000000001E-05</v>
      </c>
      <c r="I406">
        <v>4.97E-05</v>
      </c>
      <c r="J406">
        <v>0.00011515</v>
      </c>
    </row>
    <row r="407" spans="1:10">
      <c r="A407">
        <f>HYPERLINK("https://mega.nz/file/PEkAlCDA#qa-gKpC_pvFgcZYt7vXZfVAASEpw6GiMe2xCeyq6Th0", "Oracle of the Tarot")</f>
        <v>0</v>
      </c>
      <c r="B407" t="s">
        <v>44</v>
      </c>
      <c r="C407" t="s">
        <v>885</v>
      </c>
      <c r="D407" t="s">
        <v>2186</v>
      </c>
      <c r="E407" t="s">
        <v>1188</v>
      </c>
      <c r="F407" t="s">
        <v>3131</v>
      </c>
      <c r="G407" s="2" t="s">
        <v>3537</v>
      </c>
      <c r="H407">
        <v>5.88E-05</v>
      </c>
      <c r="I407">
        <v>5.915E-05</v>
      </c>
      <c r="J407">
        <v>0.00011795</v>
      </c>
    </row>
    <row r="408" spans="1:10">
      <c r="A408">
        <f>HYPERLINK("https://mega.nz/file/3NVUVYwS#idrmYt5-I2Z4zVpV6qZl--JR7ahlG6pMw4EVad2BnLs", "Origin of the Qabalah")</f>
        <v>0</v>
      </c>
      <c r="B408" t="s">
        <v>44</v>
      </c>
      <c r="C408" t="s">
        <v>886</v>
      </c>
      <c r="D408" t="s">
        <v>2187</v>
      </c>
      <c r="E408" t="s">
        <v>3118</v>
      </c>
      <c r="F408" t="s">
        <v>3131</v>
      </c>
      <c r="G408" s="2" t="s">
        <v>3538</v>
      </c>
      <c r="H408">
        <v>6.09E-05</v>
      </c>
      <c r="I408">
        <v>5.425E-05</v>
      </c>
      <c r="J408">
        <v>0.00011515</v>
      </c>
    </row>
    <row r="409" spans="1:10">
      <c r="A409">
        <f>HYPERLINK("https://mega.nz/file/nUkxFKCR#4vyoMvMB6QUlZ4mUjleVsHdQPeUulwI-IHrGyT6J6oc", "Oujia cazadora")</f>
        <v>0</v>
      </c>
      <c r="B409" t="s">
        <v>44</v>
      </c>
      <c r="C409" t="s">
        <v>887</v>
      </c>
      <c r="D409" t="s">
        <v>2188</v>
      </c>
      <c r="E409" t="s">
        <v>3117</v>
      </c>
      <c r="F409" t="s">
        <v>3131</v>
      </c>
      <c r="G409" s="2" t="s">
        <v>3539</v>
      </c>
      <c r="H409">
        <v>5.985E-05</v>
      </c>
      <c r="I409">
        <v>5.88E-05</v>
      </c>
      <c r="J409">
        <v>0.00011865</v>
      </c>
    </row>
    <row r="410" spans="1:10">
      <c r="A410">
        <f>HYPERLINK("https://mega.nz/file/uQsFhSIK#wGYLshzjC-j_3X6-g_AtE-8zxN8cNH2nL1U5772otsM", "Ouranian - Barbaric and the Use of Barbarous Tongues")</f>
        <v>0</v>
      </c>
      <c r="B410" t="s">
        <v>44</v>
      </c>
      <c r="C410" t="s">
        <v>888</v>
      </c>
      <c r="D410" t="s">
        <v>2189</v>
      </c>
      <c r="E410" t="s">
        <v>3117</v>
      </c>
      <c r="F410" t="s">
        <v>3131</v>
      </c>
      <c r="G410" s="2" t="s">
        <v>3540</v>
      </c>
      <c r="H410">
        <v>6.825000000000001E-05</v>
      </c>
      <c r="I410">
        <v>5.18E-05</v>
      </c>
      <c r="J410">
        <v>0.00012005</v>
      </c>
    </row>
    <row r="411" spans="1:10">
      <c r="A411">
        <f>HYPERLINK("https://mega.nz/file/CcF3CaDY#TO5QS5a985SkR0rdk7Au3yL8rTVfZ-2F2nzPCgcpVcI", "Ouranian Barbaric Dictionary")</f>
        <v>0</v>
      </c>
      <c r="B411" t="s">
        <v>44</v>
      </c>
      <c r="C411" t="s">
        <v>889</v>
      </c>
      <c r="D411" t="s">
        <v>2190</v>
      </c>
      <c r="E411" t="s">
        <v>3117</v>
      </c>
      <c r="F411" t="s">
        <v>3131</v>
      </c>
      <c r="G411" s="2" t="s">
        <v>3541</v>
      </c>
      <c r="H411">
        <v>5.985E-05</v>
      </c>
      <c r="I411">
        <v>4.83E-05</v>
      </c>
      <c r="J411">
        <v>0.00010815</v>
      </c>
    </row>
    <row r="412" spans="1:10">
      <c r="A412">
        <f>HYPERLINK("https://mega.nz/file/fNVVxCbA#GPqTV9p98HzumbZRFqh2hA-FJDpGhVy7IEQcB-ucykQ", "Ouranian barbaric FAQ 3")</f>
        <v>0</v>
      </c>
      <c r="B412" t="s">
        <v>44</v>
      </c>
      <c r="C412" t="s">
        <v>890</v>
      </c>
      <c r="D412" t="s">
        <v>2191</v>
      </c>
      <c r="E412" t="s">
        <v>3117</v>
      </c>
      <c r="F412" t="s">
        <v>3131</v>
      </c>
      <c r="G412" s="2" t="s">
        <v>3542</v>
      </c>
      <c r="H412">
        <v>6.09E-05</v>
      </c>
      <c r="I412">
        <v>4.795E-05</v>
      </c>
      <c r="J412">
        <v>0.00010885</v>
      </c>
    </row>
    <row r="413" spans="1:10">
      <c r="A413">
        <f>HYPERLINK("https://mega.nz/file/ncczFRqS#SkRHO4YDf7K25evpx7nE2G6BDQ94kOZNRz54_S2wIOQ", "Ouroborus Tantric Experience")</f>
        <v>0</v>
      </c>
      <c r="B413" t="s">
        <v>44</v>
      </c>
      <c r="C413" t="s">
        <v>891</v>
      </c>
      <c r="D413" t="s">
        <v>2192</v>
      </c>
      <c r="E413" t="s">
        <v>3117</v>
      </c>
      <c r="F413" t="s">
        <v>3131</v>
      </c>
      <c r="G413" s="2" t="s">
        <v>3543</v>
      </c>
      <c r="H413">
        <v>6.195E-05</v>
      </c>
      <c r="I413">
        <v>5.53E-05</v>
      </c>
      <c r="J413">
        <v>0.00011725</v>
      </c>
    </row>
    <row r="414" spans="1:10">
      <c r="A414">
        <f>HYPERLINK("https://mega.nz/file/XdkjTSAA#qhNo0yk-ae-0AHOa05qvhTmZhOFXffaePyC3gEj1dxo", "Out of Body, Out of Mind")</f>
        <v>0</v>
      </c>
      <c r="B414" t="s">
        <v>44</v>
      </c>
      <c r="C414" t="s">
        <v>892</v>
      </c>
      <c r="D414" t="s">
        <v>2193</v>
      </c>
      <c r="E414" t="s">
        <v>3117</v>
      </c>
      <c r="F414" t="s">
        <v>3131</v>
      </c>
      <c r="G414" s="2" t="s">
        <v>3544</v>
      </c>
      <c r="H414">
        <v>6.195E-05</v>
      </c>
      <c r="I414">
        <v>5.67E-05</v>
      </c>
      <c r="J414">
        <v>0.00011865</v>
      </c>
    </row>
    <row r="415" spans="1:10">
      <c r="A415">
        <f>HYPERLINK("https://mega.nz/file/LE8zWSTB#OMcGnm0Sdw68elCkG1KpPAgn0Vh7uTMIRZasUbM2dfg", "Ovnis - Rebatiendo A Zecharia Sitchin")</f>
        <v>0</v>
      </c>
      <c r="B415" t="s">
        <v>44</v>
      </c>
      <c r="C415" t="s">
        <v>893</v>
      </c>
      <c r="D415" t="s">
        <v>2194</v>
      </c>
      <c r="E415" t="s">
        <v>3117</v>
      </c>
      <c r="F415" t="s">
        <v>3131</v>
      </c>
      <c r="G415" s="2" t="s">
        <v>3545</v>
      </c>
      <c r="H415">
        <v>6.334999999999999E-05</v>
      </c>
      <c r="I415">
        <v>6.65E-05</v>
      </c>
      <c r="J415">
        <v>0.00012985</v>
      </c>
    </row>
    <row r="416" spans="1:10">
      <c r="A416">
        <f>HYPERLINK("https://mega.nz/file/PZFUFAjL#pk8ThP81vLMPPw_rrArWM3eoEf-OhhhDtZ5XU61kJBo", "Pactum")</f>
        <v>0</v>
      </c>
      <c r="B416" t="s">
        <v>44</v>
      </c>
      <c r="C416" t="s">
        <v>894</v>
      </c>
      <c r="D416" t="s">
        <v>2195</v>
      </c>
      <c r="E416" t="s">
        <v>3117</v>
      </c>
      <c r="F416" t="s">
        <v>3131</v>
      </c>
      <c r="G416" s="2" t="s">
        <v>3546</v>
      </c>
      <c r="H416">
        <v>5.775E-05</v>
      </c>
      <c r="I416">
        <v>4.97E-05</v>
      </c>
      <c r="J416">
        <v>0.00010745</v>
      </c>
    </row>
    <row r="417" spans="1:10">
      <c r="A417">
        <f>HYPERLINK("https://mega.nz/file/jU8xXLSI#LfU6BqKLpt5mlcNIj_jsIkuSnBIgyVUujUpVUk9MKYA", "Papyri Graecae Magicae")</f>
        <v>0</v>
      </c>
      <c r="B417" t="s">
        <v>44</v>
      </c>
      <c r="C417" t="s">
        <v>895</v>
      </c>
      <c r="D417" t="s">
        <v>2196</v>
      </c>
      <c r="E417" t="s">
        <v>3117</v>
      </c>
      <c r="F417" t="s">
        <v>3131</v>
      </c>
      <c r="G417" s="2" t="s">
        <v>3547</v>
      </c>
      <c r="H417">
        <v>6.3E-05</v>
      </c>
      <c r="I417">
        <v>5.215E-05</v>
      </c>
      <c r="J417">
        <v>0.00011515</v>
      </c>
    </row>
    <row r="418" spans="1:10">
      <c r="A418">
        <f>HYPERLINK("https://mega.nz/file/bR91yKyC#3aDsayVb4dzScLZp5HDHKRQC2l0rILqSKKOi7UzdjW8", "Parts of the Soul - A Greek System of Chakras")</f>
        <v>0</v>
      </c>
      <c r="B418" t="s">
        <v>44</v>
      </c>
      <c r="C418" t="s">
        <v>896</v>
      </c>
      <c r="D418" t="s">
        <v>2197</v>
      </c>
      <c r="E418" t="s">
        <v>3117</v>
      </c>
      <c r="F418" t="s">
        <v>3131</v>
      </c>
      <c r="G418" s="2" t="s">
        <v>3548</v>
      </c>
      <c r="H418">
        <v>6.615E-05</v>
      </c>
      <c r="I418">
        <v>5.67E-05</v>
      </c>
      <c r="J418">
        <v>0.00012285</v>
      </c>
    </row>
    <row r="419" spans="1:10">
      <c r="A419">
        <f>HYPERLINK("https://mega.nz/file/PME1wJyS#YF05rbN7fhR8113x52hxoY3OAYusQc0unGSVmEhZm3o", "Path of Initiation")</f>
        <v>0</v>
      </c>
      <c r="B419" t="s">
        <v>44</v>
      </c>
      <c r="C419" t="s">
        <v>897</v>
      </c>
      <c r="D419" t="s">
        <v>2198</v>
      </c>
      <c r="E419" t="s">
        <v>3117</v>
      </c>
      <c r="F419" t="s">
        <v>3131</v>
      </c>
      <c r="G419" s="2" t="s">
        <v>3549</v>
      </c>
      <c r="H419">
        <v>5.775E-05</v>
      </c>
      <c r="I419">
        <v>4.76E-05</v>
      </c>
      <c r="J419">
        <v>0.00010535</v>
      </c>
    </row>
    <row r="420" spans="1:10">
      <c r="A420">
        <f>HYPERLINK("https://mega.nz/file/ud9mHSjJ#LupwtlSU7IaaY_FKEfRVa4ew-PCzbo4tR_NRRwUxqig", "Pathless Path to Immortality")</f>
        <v>0</v>
      </c>
      <c r="B420" t="s">
        <v>44</v>
      </c>
      <c r="C420" t="s">
        <v>898</v>
      </c>
      <c r="D420" t="s">
        <v>2199</v>
      </c>
      <c r="E420" t="s">
        <v>3117</v>
      </c>
      <c r="F420" t="s">
        <v>3131</v>
      </c>
      <c r="G420" s="2" t="s">
        <v>3550</v>
      </c>
      <c r="H420">
        <v>6.195E-05</v>
      </c>
      <c r="I420">
        <v>4.83E-05</v>
      </c>
      <c r="J420">
        <v>0.00011025</v>
      </c>
    </row>
    <row r="421" spans="1:10">
      <c r="A421">
        <f>HYPERLINK("https://mega.nz/file/OJtxkZjT#mhtrNwlWZpCOtxJjdKIwsAMQRZIxq00JeHGo8rEC_cg", "Patron of Sorcery")</f>
        <v>0</v>
      </c>
      <c r="B421" t="s">
        <v>44</v>
      </c>
      <c r="C421" t="s">
        <v>899</v>
      </c>
      <c r="D421" t="s">
        <v>2200</v>
      </c>
      <c r="E421" t="s">
        <v>3117</v>
      </c>
      <c r="F421" t="s">
        <v>3131</v>
      </c>
      <c r="G421" s="2" t="s">
        <v>3551</v>
      </c>
      <c r="H421">
        <v>5.985E-05</v>
      </c>
      <c r="I421">
        <v>5.32E-05</v>
      </c>
      <c r="J421">
        <v>0.00011305</v>
      </c>
    </row>
    <row r="422" spans="1:10">
      <c r="A422">
        <f>HYPERLINK("https://mega.nz/file/yEcigS6L#Jhf34aWOdHVwt-b1z8B5h6QRWiTRWi1xvOurQLzPyms", "Person And Culture In The Taoist Tradition")</f>
        <v>0</v>
      </c>
      <c r="B422" t="s">
        <v>44</v>
      </c>
      <c r="C422" t="s">
        <v>900</v>
      </c>
      <c r="D422" t="s">
        <v>2201</v>
      </c>
      <c r="E422" t="s">
        <v>3117</v>
      </c>
      <c r="F422" t="s">
        <v>3131</v>
      </c>
      <c r="G422" s="2" t="s">
        <v>3552</v>
      </c>
      <c r="H422">
        <v>6.3E-05</v>
      </c>
      <c r="I422">
        <v>5.075E-05</v>
      </c>
      <c r="J422">
        <v>0.00011375</v>
      </c>
    </row>
    <row r="423" spans="1:10">
      <c r="A423">
        <f>HYPERLINK("https://mega.nz/file/TUcx3LxR#zZpLBQhCwt_njKpwjbSJhWELPyJESx3EsFPobbzUrEk", "Picatrix")</f>
        <v>0</v>
      </c>
      <c r="B423" t="s">
        <v>44</v>
      </c>
      <c r="C423" t="s">
        <v>901</v>
      </c>
      <c r="D423" t="s">
        <v>2202</v>
      </c>
      <c r="E423" t="s">
        <v>3117</v>
      </c>
      <c r="F423" t="s">
        <v>3131</v>
      </c>
      <c r="G423" s="2" t="s">
        <v>3553</v>
      </c>
      <c r="H423">
        <v>5.67E-05</v>
      </c>
      <c r="I423">
        <v>5.145E-05</v>
      </c>
      <c r="J423">
        <v>0.00010815</v>
      </c>
    </row>
    <row r="424" spans="1:10">
      <c r="A424">
        <f>HYPERLINK("https://mega.nz/file/2dd3mZQa#wgqWlfAkbDeysi4wnIkEiQ-HMnPau645GNoa2hi8EeE", "Pistis Sophia")</f>
        <v>0</v>
      </c>
      <c r="B424" t="s">
        <v>44</v>
      </c>
      <c r="C424" t="s">
        <v>902</v>
      </c>
      <c r="D424" t="s">
        <v>2203</v>
      </c>
      <c r="E424" t="s">
        <v>3117</v>
      </c>
      <c r="F424" t="s">
        <v>3131</v>
      </c>
      <c r="G424" s="2" t="s">
        <v>3554</v>
      </c>
      <c r="H424">
        <v>5.95E-05</v>
      </c>
      <c r="I424">
        <v>5.215E-05</v>
      </c>
      <c r="J424">
        <v>0.00011165</v>
      </c>
    </row>
    <row r="425" spans="1:10">
      <c r="A425">
        <f>HYPERLINK("https://mega.nz/file/3AkExB6Y#3Z2Dtr_EdEQ86mKl8qc1HTp9wPs9xUqigihzm0SZdPU", "Plants of the Gods Their Sacred Healing and Hallucinogenic Powers")</f>
        <v>0</v>
      </c>
      <c r="B425" t="s">
        <v>44</v>
      </c>
      <c r="C425" t="s">
        <v>903</v>
      </c>
      <c r="D425" t="s">
        <v>2204</v>
      </c>
      <c r="E425" t="s">
        <v>3117</v>
      </c>
      <c r="F425" t="s">
        <v>3131</v>
      </c>
      <c r="G425" s="2" t="s">
        <v>3555</v>
      </c>
      <c r="H425">
        <v>7.105000000000001E-05</v>
      </c>
      <c r="I425">
        <v>5.635E-05</v>
      </c>
      <c r="J425">
        <v>0.0001274</v>
      </c>
    </row>
    <row r="426" spans="1:10">
      <c r="A426">
        <f>HYPERLINK("https://mega.nz/file/3I8ADRSS#82aF39DzmEVhR59rstPp-VVRKwuDTnZcsWiTqGyyv9Y", "Play the Bear: Myth and Ritual in East Siberia")</f>
        <v>0</v>
      </c>
      <c r="B426" t="s">
        <v>44</v>
      </c>
      <c r="C426" t="s">
        <v>904</v>
      </c>
      <c r="D426" t="s">
        <v>2205</v>
      </c>
      <c r="E426" t="s">
        <v>3117</v>
      </c>
      <c r="F426" t="s">
        <v>3131</v>
      </c>
      <c r="G426" s="2" t="s">
        <v>3556</v>
      </c>
      <c r="H426">
        <v>6.51E-05</v>
      </c>
      <c r="I426">
        <v>5.565E-05</v>
      </c>
      <c r="J426">
        <v>0.00012075</v>
      </c>
    </row>
    <row r="427" spans="1:10">
      <c r="A427">
        <f>HYPERLINK("https://mega.nz/file/HQME0ZIQ#Hsmq7WHHSpU904bQc1hdJK4FmEw8fGH-pKYADdHpgRM", "Poker Without Cards")</f>
        <v>0</v>
      </c>
      <c r="B427" t="s">
        <v>44</v>
      </c>
      <c r="C427" t="s">
        <v>905</v>
      </c>
      <c r="D427" t="s">
        <v>2206</v>
      </c>
      <c r="E427" t="s">
        <v>3117</v>
      </c>
      <c r="F427" t="s">
        <v>3131</v>
      </c>
      <c r="G427" s="2" t="s">
        <v>3557</v>
      </c>
      <c r="H427">
        <v>5.775E-05</v>
      </c>
      <c r="I427">
        <v>5.81E-05</v>
      </c>
      <c r="J427">
        <v>0.00011585</v>
      </c>
    </row>
    <row r="428" spans="1:10">
      <c r="A428">
        <f>HYPERLINK("https://mega.nz/file/iM0wmZoJ#trijwaesAUkDdjoA-GpKAJPJsFAIclsxKyruDXeol50", "Pondering Imponderables- Occultism in the Mirror of Late Classical Physics")</f>
        <v>0</v>
      </c>
      <c r="B428" t="s">
        <v>44</v>
      </c>
      <c r="C428" t="s">
        <v>906</v>
      </c>
      <c r="D428" t="s">
        <v>2207</v>
      </c>
      <c r="E428" t="s">
        <v>3117</v>
      </c>
      <c r="F428" t="s">
        <v>3131</v>
      </c>
      <c r="G428" s="2" t="s">
        <v>3558</v>
      </c>
      <c r="H428">
        <v>7.245E-05</v>
      </c>
      <c r="I428">
        <v>5.18E-05</v>
      </c>
      <c r="J428">
        <v>0.00012425</v>
      </c>
    </row>
    <row r="429" spans="1:10">
      <c r="A429">
        <f>HYPERLINK("https://mega.nz/file/yE0xHRJJ#0ZyVmK1EgzCWaQSovD_0hleOvN5FG5Ru7sEjo3p9-8M", "Prelude to the Black Arts")</f>
        <v>0</v>
      </c>
      <c r="B429" t="s">
        <v>44</v>
      </c>
      <c r="C429" t="s">
        <v>907</v>
      </c>
      <c r="D429" t="s">
        <v>2208</v>
      </c>
      <c r="E429" t="s">
        <v>3117</v>
      </c>
      <c r="F429" t="s">
        <v>3131</v>
      </c>
      <c r="G429" s="2" t="s">
        <v>3559</v>
      </c>
      <c r="H429">
        <v>6.09E-05</v>
      </c>
      <c r="I429">
        <v>4.725E-05</v>
      </c>
      <c r="J429">
        <v>0.00010815</v>
      </c>
    </row>
    <row r="430" spans="1:10">
      <c r="A430">
        <f>HYPERLINK("https://mega.nz/file/SFlk2KjC#0Gm6xWmG_KXu0jjWl9YjUf8heiaMMSlJFE6JnVvyfmM", "Principia Chaotica")</f>
        <v>0</v>
      </c>
      <c r="B430" t="s">
        <v>44</v>
      </c>
      <c r="C430" t="s">
        <v>908</v>
      </c>
      <c r="D430" t="s">
        <v>2209</v>
      </c>
      <c r="E430" t="s">
        <v>3117</v>
      </c>
      <c r="F430" t="s">
        <v>3131</v>
      </c>
      <c r="G430" s="2" t="s">
        <v>3560</v>
      </c>
      <c r="H430">
        <v>5.88E-05</v>
      </c>
      <c r="I430">
        <v>5.285E-05</v>
      </c>
      <c r="J430">
        <v>0.00011165</v>
      </c>
    </row>
    <row r="431" spans="1:10">
      <c r="A431">
        <f>HYPERLINK("https://mega.nz/file/ndUCzYaa#PHPGE1HnSVANksv4Xf-KhondBH8hxrwi56Ecv_pPm2Q", "Principia Discordia")</f>
        <v>0</v>
      </c>
      <c r="B431" t="s">
        <v>44</v>
      </c>
      <c r="C431" t="s">
        <v>909</v>
      </c>
      <c r="D431" t="s">
        <v>2210</v>
      </c>
      <c r="E431" t="s">
        <v>3117</v>
      </c>
      <c r="F431" t="s">
        <v>3131</v>
      </c>
      <c r="G431" s="2" t="s">
        <v>3561</v>
      </c>
      <c r="H431">
        <v>6.055E-05</v>
      </c>
      <c r="I431">
        <v>6.055E-05</v>
      </c>
      <c r="J431">
        <v>0.0001211</v>
      </c>
    </row>
    <row r="432" spans="1:10">
      <c r="A432">
        <f>HYPERLINK("https://mega.nz/file/yIshTYhJ#GApauTtNF9Cdy2QAo04wVOIpCyvR-9zI2Bsyh1Z8_hE", "Principia Discordia")</f>
        <v>0</v>
      </c>
      <c r="B432" t="s">
        <v>44</v>
      </c>
      <c r="C432" t="s">
        <v>909</v>
      </c>
      <c r="D432" t="s">
        <v>2211</v>
      </c>
      <c r="E432" t="s">
        <v>3117</v>
      </c>
      <c r="F432" t="s">
        <v>3131</v>
      </c>
      <c r="G432" s="2" t="s">
        <v>3562</v>
      </c>
      <c r="H432">
        <v>5.88E-05</v>
      </c>
      <c r="I432">
        <v>5.705E-05</v>
      </c>
      <c r="J432">
        <v>0.00011585</v>
      </c>
    </row>
    <row r="433" spans="1:10">
      <c r="A433">
        <f>HYPERLINK("https://mega.nz/file/WId2BR7C#rWGIO6gXh_JeLj_iV2rJ3Mg0MCEvjj2evAbLY5aK5HI", "Problemas Psiquicos")</f>
        <v>0</v>
      </c>
      <c r="B433" t="s">
        <v>44</v>
      </c>
      <c r="C433" t="s">
        <v>910</v>
      </c>
      <c r="D433" t="s">
        <v>2212</v>
      </c>
      <c r="E433" t="s">
        <v>3117</v>
      </c>
      <c r="F433" t="s">
        <v>3131</v>
      </c>
      <c r="G433" s="2" t="s">
        <v>3563</v>
      </c>
      <c r="H433">
        <v>6.160000000000001E-05</v>
      </c>
      <c r="I433">
        <v>5.6E-05</v>
      </c>
      <c r="J433">
        <v>0.0001176</v>
      </c>
    </row>
    <row r="434" spans="1:10">
      <c r="A434">
        <f>HYPERLINK("https://mega.nz/file/3AdmFKoR#psPrJOeurvwxQANS37MzNHu3m4YK-o-M3btSAPljlgM", "Programming and Metaprogramming in THE HUMAN BIOCOMPUTER")</f>
        <v>0</v>
      </c>
      <c r="B434" t="s">
        <v>44</v>
      </c>
      <c r="C434" t="s">
        <v>911</v>
      </c>
      <c r="D434" t="s">
        <v>2213</v>
      </c>
      <c r="E434" t="s">
        <v>3117</v>
      </c>
      <c r="F434" t="s">
        <v>3131</v>
      </c>
      <c r="G434" s="2" t="s">
        <v>3564</v>
      </c>
      <c r="H434">
        <v>6.615E-05</v>
      </c>
      <c r="I434">
        <v>5.39E-05</v>
      </c>
      <c r="J434">
        <v>0.00012005</v>
      </c>
    </row>
    <row r="435" spans="1:10">
      <c r="A435">
        <f>HYPERLINK("https://mega.nz/file/7BEF0ACa#fU8G3hKYWaoRDXo9H163-xYxxJ4zwBsNJK6s-zJV0uI", "Prometheus")</f>
        <v>0</v>
      </c>
      <c r="B435" t="s">
        <v>44</v>
      </c>
      <c r="C435" t="s">
        <v>912</v>
      </c>
      <c r="D435" t="s">
        <v>2214</v>
      </c>
      <c r="E435" t="s">
        <v>3117</v>
      </c>
      <c r="F435" t="s">
        <v>3131</v>
      </c>
      <c r="G435" s="2" t="s">
        <v>3565</v>
      </c>
      <c r="H435">
        <v>5.67E-05</v>
      </c>
      <c r="I435">
        <v>5.145E-05</v>
      </c>
      <c r="J435">
        <v>0.00010815</v>
      </c>
    </row>
    <row r="436" spans="1:10">
      <c r="A436">
        <f>HYPERLINK("https://mega.nz/file/iY9hWZrC#I80EtZc6sxuMgjLSSZk-cjLrxQKseDboL8tFHbphAAI", "Prometheus Rising")</f>
        <v>0</v>
      </c>
      <c r="B436" t="s">
        <v>44</v>
      </c>
      <c r="C436" t="s">
        <v>506</v>
      </c>
      <c r="D436" t="s">
        <v>2215</v>
      </c>
      <c r="E436" t="s">
        <v>3117</v>
      </c>
      <c r="F436" t="s">
        <v>3131</v>
      </c>
      <c r="G436" s="2" t="s">
        <v>3566</v>
      </c>
      <c r="H436">
        <v>5.775E-05</v>
      </c>
      <c r="I436">
        <v>5.53E-05</v>
      </c>
      <c r="J436">
        <v>0.00011305</v>
      </c>
    </row>
    <row r="437" spans="1:10">
      <c r="A437">
        <f>HYPERLINK("https://mega.nz/file/6UMkjDLA#GXzqpRf_g-MLUYR8gJ-XvuhEZQGjtqGTcTMfbmUZzzw", "Prophetikos")</f>
        <v>0</v>
      </c>
      <c r="B437" t="s">
        <v>44</v>
      </c>
      <c r="C437" t="s">
        <v>913</v>
      </c>
      <c r="D437" t="s">
        <v>2216</v>
      </c>
      <c r="E437" t="s">
        <v>3117</v>
      </c>
      <c r="F437" t="s">
        <v>3131</v>
      </c>
      <c r="G437" s="2" t="s">
        <v>3567</v>
      </c>
      <c r="H437">
        <v>5.775E-05</v>
      </c>
      <c r="I437">
        <v>5.11E-05</v>
      </c>
      <c r="J437">
        <v>0.00010885</v>
      </c>
    </row>
    <row r="438" spans="1:10">
      <c r="A438">
        <f>HYPERLINK("https://mega.nz/file/vBckQBBB#CCNc9RZ-rKKSeP1MfLmN_Lxjtt-J9YeVma52e6-UD4E", "Prose Edda")</f>
        <v>0</v>
      </c>
      <c r="B438" t="s">
        <v>44</v>
      </c>
      <c r="C438" t="s">
        <v>914</v>
      </c>
      <c r="D438" t="s">
        <v>2217</v>
      </c>
      <c r="E438" t="s">
        <v>3117</v>
      </c>
      <c r="F438" t="s">
        <v>3131</v>
      </c>
      <c r="G438" s="2" t="s">
        <v>3568</v>
      </c>
      <c r="H438">
        <v>5.88E-05</v>
      </c>
      <c r="I438">
        <v>5.565E-05</v>
      </c>
      <c r="J438">
        <v>0.00011445</v>
      </c>
    </row>
    <row r="439" spans="1:10">
      <c r="A439">
        <f>HYPERLINK("https://mega.nz/file/fUNAmArS#yyeZpBRPpOOfIrmqzTKX1YWSbFEmwPN3vR3T2gNojVo", "Puja of the Three Super Faculties")</f>
        <v>0</v>
      </c>
      <c r="B439" t="s">
        <v>44</v>
      </c>
      <c r="C439" t="s">
        <v>915</v>
      </c>
      <c r="D439" t="s">
        <v>2218</v>
      </c>
      <c r="E439" t="s">
        <v>3117</v>
      </c>
      <c r="F439" t="s">
        <v>3131</v>
      </c>
      <c r="G439" s="2" t="s">
        <v>3569</v>
      </c>
      <c r="H439">
        <v>6.195E-05</v>
      </c>
      <c r="I439">
        <v>5.32E-05</v>
      </c>
      <c r="J439">
        <v>0.00011515</v>
      </c>
    </row>
    <row r="440" spans="1:10">
      <c r="A440">
        <f>HYPERLINK("https://mega.nz/file/6UcGDBpJ#XNoVDE3Ne3hnC4JlesosfJUYWcf62Y5dTBlbp_TIo_Q", "Qablah 4 Beginners")</f>
        <v>0</v>
      </c>
      <c r="B440" t="s">
        <v>44</v>
      </c>
      <c r="C440" t="s">
        <v>916</v>
      </c>
      <c r="D440" t="s">
        <v>2219</v>
      </c>
      <c r="E440" t="s">
        <v>3117</v>
      </c>
      <c r="F440" t="s">
        <v>3131</v>
      </c>
      <c r="G440" s="2" t="s">
        <v>3570</v>
      </c>
      <c r="H440">
        <v>6.09E-05</v>
      </c>
      <c r="I440">
        <v>5.565E-05</v>
      </c>
      <c r="J440">
        <v>0.00011655</v>
      </c>
    </row>
    <row r="441" spans="1:10">
      <c r="A441">
        <f>HYPERLINK("https://mega.nz/file/udFxnAZJ#2DwJ4wG6wdUyF92tiEJssLxzbkfUcLswc5PPsJbsT2k", "QBL or The Brides Reception")</f>
        <v>0</v>
      </c>
      <c r="B441" t="s">
        <v>44</v>
      </c>
      <c r="C441" t="s">
        <v>917</v>
      </c>
      <c r="D441" t="s">
        <v>2220</v>
      </c>
      <c r="E441" t="s">
        <v>3117</v>
      </c>
      <c r="F441" t="s">
        <v>3131</v>
      </c>
      <c r="G441" s="2" t="s">
        <v>3571</v>
      </c>
      <c r="H441">
        <v>6.195E-05</v>
      </c>
      <c r="I441">
        <v>4.795E-05</v>
      </c>
      <c r="J441">
        <v>0.0001099</v>
      </c>
    </row>
    <row r="442" spans="1:10">
      <c r="A442">
        <f>HYPERLINK("https://mega.nz/file/WB8AzZBD#t3lpQQ4qd1qGIyIXGKpCEm8VXET_1kufphqHGRo9rI8", "Quiromancia")</f>
        <v>0</v>
      </c>
      <c r="B442" t="s">
        <v>44</v>
      </c>
      <c r="C442" t="s">
        <v>918</v>
      </c>
      <c r="D442" t="s">
        <v>2221</v>
      </c>
      <c r="E442" t="s">
        <v>3117</v>
      </c>
      <c r="F442" t="s">
        <v>3131</v>
      </c>
      <c r="G442" s="2" t="s">
        <v>3572</v>
      </c>
      <c r="H442">
        <v>6.02E-05</v>
      </c>
      <c r="I442">
        <v>6.3E-05</v>
      </c>
      <c r="J442">
        <v>0.0001232</v>
      </c>
    </row>
    <row r="443" spans="1:10">
      <c r="A443">
        <f>HYPERLINK("https://mega.nz/file/CUsCgDaA#ITJguzRu495E1xdLDaZiXXy4g9HG4sbx_2POwJ2wy2E", "Reclaiming the Pagan Worldview")</f>
        <v>0</v>
      </c>
      <c r="B443" t="s">
        <v>44</v>
      </c>
      <c r="C443" t="s">
        <v>919</v>
      </c>
      <c r="D443" t="s">
        <v>2222</v>
      </c>
      <c r="E443" t="s">
        <v>3117</v>
      </c>
      <c r="F443" t="s">
        <v>3131</v>
      </c>
      <c r="G443" s="2" t="s">
        <v>3573</v>
      </c>
      <c r="H443">
        <v>6.09E-05</v>
      </c>
      <c r="I443">
        <v>5.355E-05</v>
      </c>
      <c r="J443">
        <v>0.00011445</v>
      </c>
    </row>
    <row r="444" spans="1:10">
      <c r="A444">
        <f>HYPERLINK("https://mega.nz/file/bId0BRzQ#UkfzukBxo5ltmQEJKER9pHqsBThsTrLhUGKVZ7WM33k", "Reflections on Tantra")</f>
        <v>0</v>
      </c>
      <c r="B444" t="s">
        <v>44</v>
      </c>
      <c r="C444" t="s">
        <v>920</v>
      </c>
      <c r="D444" t="s">
        <v>2223</v>
      </c>
      <c r="E444" t="s">
        <v>3119</v>
      </c>
      <c r="F444" t="s">
        <v>3131</v>
      </c>
      <c r="G444" s="2" t="s">
        <v>3574</v>
      </c>
      <c r="H444">
        <v>5.985E-05</v>
      </c>
      <c r="I444">
        <v>4.83E-05</v>
      </c>
      <c r="J444">
        <v>0.00010815</v>
      </c>
    </row>
    <row r="445" spans="1:10">
      <c r="A445">
        <f>HYPERLINK("https://mega.nz/file/SRNjjYzL#CQzY2ibA2KJ2lBHSpJfnEvuXEJ81DtEOEib_4bc2xgg", "Relato de un Exorcismo")</f>
        <v>0</v>
      </c>
      <c r="B445" t="s">
        <v>44</v>
      </c>
      <c r="C445" t="s">
        <v>921</v>
      </c>
      <c r="D445" t="s">
        <v>2224</v>
      </c>
      <c r="E445" t="s">
        <v>3117</v>
      </c>
      <c r="F445" t="s">
        <v>3130</v>
      </c>
      <c r="G445" s="2" t="s">
        <v>3575</v>
      </c>
      <c r="H445">
        <v>6.195E-05</v>
      </c>
      <c r="I445">
        <v>6.79E-05</v>
      </c>
      <c r="J445">
        <v>0.00012985</v>
      </c>
    </row>
    <row r="446" spans="1:10">
      <c r="A446">
        <f>HYPERLINK("https://mega.nz/file/TFtRhbqR#HVpMiywqehpBLtPDQZNoRm-5OjIY-x5Sxw1ILqyxcH4", "Religious Tenants of the Yezidi")</f>
        <v>0</v>
      </c>
      <c r="B446" t="s">
        <v>44</v>
      </c>
      <c r="C446" t="s">
        <v>922</v>
      </c>
      <c r="D446" t="s">
        <v>2225</v>
      </c>
      <c r="E446" t="s">
        <v>3117</v>
      </c>
      <c r="F446" t="s">
        <v>3131</v>
      </c>
      <c r="G446" s="2" t="s">
        <v>3576</v>
      </c>
      <c r="H446">
        <v>6.195E-05</v>
      </c>
      <c r="I446">
        <v>5.95E-05</v>
      </c>
      <c r="J446">
        <v>0.00012145</v>
      </c>
    </row>
    <row r="447" spans="1:10">
      <c r="A447">
        <f>HYPERLINK("https://mega.nz/file/3NthnIwT#-B3Arg_pXSHwxwG-j18fQm7OY7ZjkrmXcXPkbhqQwcE", "Revelations of an Insider")</f>
        <v>0</v>
      </c>
      <c r="B447" t="s">
        <v>44</v>
      </c>
      <c r="C447" t="s">
        <v>923</v>
      </c>
      <c r="D447" t="s">
        <v>2226</v>
      </c>
      <c r="E447" t="s">
        <v>3117</v>
      </c>
      <c r="F447" t="s">
        <v>3131</v>
      </c>
      <c r="G447" s="2" t="s">
        <v>3577</v>
      </c>
      <c r="H447">
        <v>5.985E-05</v>
      </c>
      <c r="I447">
        <v>5.46E-05</v>
      </c>
      <c r="J447">
        <v>0.00011445</v>
      </c>
    </row>
    <row r="448" spans="1:10">
      <c r="A448">
        <f>HYPERLINK("https://mega.nz/file/CA9lACqS#-JAJuJg7pcSXIQ119enSW-sV5_211b1nWtKFmRhHDL8", "Revista - Enigmas 01 2014")</f>
        <v>0</v>
      </c>
      <c r="B448" t="s">
        <v>44</v>
      </c>
      <c r="C448" t="s">
        <v>924</v>
      </c>
      <c r="D448" t="s">
        <v>2227</v>
      </c>
      <c r="E448" t="s">
        <v>3117</v>
      </c>
      <c r="F448" t="s">
        <v>3131</v>
      </c>
      <c r="G448" s="2" t="s">
        <v>3578</v>
      </c>
      <c r="H448">
        <v>6.93E-05</v>
      </c>
      <c r="I448">
        <v>5.915E-05</v>
      </c>
      <c r="J448">
        <v>0.00012845</v>
      </c>
    </row>
    <row r="449" spans="1:10">
      <c r="A449">
        <f>HYPERLINK("https://mega.nz/file/PdcShaqZ#WFPhw5NyfU5i3QePN4hV0or-b6ZvI1F-2arG8tp6WJs", "Rite of Shaitan")</f>
        <v>0</v>
      </c>
      <c r="B449" t="s">
        <v>44</v>
      </c>
      <c r="C449" t="s">
        <v>925</v>
      </c>
      <c r="D449" t="s">
        <v>2228</v>
      </c>
      <c r="E449" t="s">
        <v>3117</v>
      </c>
      <c r="F449" t="s">
        <v>3131</v>
      </c>
      <c r="G449" s="2" t="s">
        <v>3579</v>
      </c>
      <c r="H449">
        <v>5.88E-05</v>
      </c>
      <c r="I449">
        <v>5.075E-05</v>
      </c>
      <c r="J449">
        <v>0.00010955</v>
      </c>
    </row>
    <row r="450" spans="1:10">
      <c r="A450">
        <f>HYPERLINK("https://mega.nz/file/TUUmGS4L#aDfv6P0XFCfUqLsGC3VzmEigw9sCtz84b3oTXv37P5I", "Rite of the Opposer")</f>
        <v>0</v>
      </c>
      <c r="B450" t="s">
        <v>44</v>
      </c>
      <c r="C450" t="s">
        <v>926</v>
      </c>
      <c r="D450" t="s">
        <v>2229</v>
      </c>
      <c r="E450" t="s">
        <v>3117</v>
      </c>
      <c r="F450" t="s">
        <v>3131</v>
      </c>
      <c r="G450" s="2" t="s">
        <v>3580</v>
      </c>
      <c r="H450">
        <v>5.985E-05</v>
      </c>
      <c r="I450">
        <v>5.6E-05</v>
      </c>
      <c r="J450">
        <v>0.00011585</v>
      </c>
    </row>
    <row r="451" spans="1:10">
      <c r="A451">
        <f>HYPERLINK("https://mega.nz/file/ncU0nLZJ#IJH3OIbzNvh3JgqN_fMYral25ImeRu20npa1RYlAhj0", "Rite of the Werewolf")</f>
        <v>0</v>
      </c>
      <c r="B451" t="s">
        <v>44</v>
      </c>
      <c r="C451" t="s">
        <v>927</v>
      </c>
      <c r="D451" t="s">
        <v>2230</v>
      </c>
      <c r="E451" t="s">
        <v>3117</v>
      </c>
      <c r="F451" t="s">
        <v>3131</v>
      </c>
      <c r="G451" s="2" t="s">
        <v>3581</v>
      </c>
      <c r="H451">
        <v>5.985E-05</v>
      </c>
      <c r="I451">
        <v>5.46E-05</v>
      </c>
      <c r="J451">
        <v>0.00011445</v>
      </c>
    </row>
    <row r="452" spans="1:10">
      <c r="A452">
        <f>HYPERLINK("https://mega.nz/file/DctAUALY#2_52J51wNdL61ZXIkYC86PsDs6xKLAAX531WTcvyYnk", "Ritual A La Aparicion Visible")</f>
        <v>0</v>
      </c>
      <c r="B452" t="s">
        <v>44</v>
      </c>
      <c r="C452" t="s">
        <v>928</v>
      </c>
      <c r="D452" t="s">
        <v>2231</v>
      </c>
      <c r="E452" t="s">
        <v>3117</v>
      </c>
      <c r="F452" t="s">
        <v>3130</v>
      </c>
      <c r="G452" s="2" t="s">
        <v>3582</v>
      </c>
      <c r="H452">
        <v>6.195E-05</v>
      </c>
      <c r="I452">
        <v>6.23E-05</v>
      </c>
      <c r="J452">
        <v>0.00012425</v>
      </c>
    </row>
    <row r="453" spans="1:10">
      <c r="A453">
        <f>HYPERLINK("https://mega.nz/file/XYtywITa#DbUOAgtoqaNv3kWGG5L9XV4-SGY05TRrUf77oAuagmo", "Ritual Romano de Exorcismos")</f>
        <v>0</v>
      </c>
      <c r="B453" t="s">
        <v>44</v>
      </c>
      <c r="C453" t="s">
        <v>929</v>
      </c>
      <c r="D453" t="s">
        <v>2232</v>
      </c>
      <c r="E453" t="s">
        <v>3117</v>
      </c>
      <c r="F453" t="s">
        <v>3130</v>
      </c>
      <c r="G453" s="2" t="s">
        <v>3583</v>
      </c>
      <c r="H453">
        <v>6.125E-05</v>
      </c>
      <c r="I453">
        <v>6.93E-05</v>
      </c>
      <c r="J453">
        <v>0.00013055</v>
      </c>
    </row>
    <row r="454" spans="1:10">
      <c r="A454">
        <f>HYPERLINK("https://mega.nz/file/CYtwCY6b#4V80KaLUOJIzdhz8Vb1a1lzh5YOTqjmJtlGU8fmc7i0", "Rituale Romanum")</f>
        <v>0</v>
      </c>
      <c r="B454" t="s">
        <v>44</v>
      </c>
      <c r="C454" t="s">
        <v>930</v>
      </c>
      <c r="D454" t="s">
        <v>2233</v>
      </c>
      <c r="E454" t="s">
        <v>3117</v>
      </c>
      <c r="F454" t="s">
        <v>3131</v>
      </c>
      <c r="G454" s="2" t="s">
        <v>3584</v>
      </c>
      <c r="H454">
        <v>5.88E-05</v>
      </c>
      <c r="I454">
        <v>5.215E-05</v>
      </c>
      <c r="J454">
        <v>0.00011095</v>
      </c>
    </row>
    <row r="455" spans="1:10">
      <c r="A455">
        <f>HYPERLINK("https://mega.nz/file/mE80BApZ#s1U1JoB3oWWCfFJ-4jTpy_ICtp-uz2Z24K3Ls2wT7j4", "Rituales de la Orden Martinista Segundo Templo")</f>
        <v>0</v>
      </c>
      <c r="B455" t="s">
        <v>44</v>
      </c>
      <c r="C455" t="s">
        <v>931</v>
      </c>
      <c r="D455" t="s">
        <v>2234</v>
      </c>
      <c r="E455" t="s">
        <v>3117</v>
      </c>
      <c r="F455" t="s">
        <v>3130</v>
      </c>
      <c r="G455" s="2" t="s">
        <v>3585</v>
      </c>
      <c r="H455">
        <v>6.719999999999999E-05</v>
      </c>
      <c r="I455">
        <v>7.035E-05</v>
      </c>
      <c r="J455">
        <v>0.00013755</v>
      </c>
    </row>
    <row r="456" spans="1:10">
      <c r="A456">
        <f>HYPERLINK("https://mega.nz/file/vdkQDZ6Q#lv8IGANqrilDz90wzlk2j2FXZMsNFcCs8Hjz3sFoGnI", "Rituales e Iniciaciones en las Sociedades Secretas")</f>
        <v>0</v>
      </c>
      <c r="B456" t="s">
        <v>44</v>
      </c>
      <c r="C456" t="s">
        <v>932</v>
      </c>
      <c r="D456" t="s">
        <v>2235</v>
      </c>
      <c r="E456" t="s">
        <v>3117</v>
      </c>
      <c r="F456" t="s">
        <v>3130</v>
      </c>
      <c r="G456" s="2" t="s">
        <v>3586</v>
      </c>
      <c r="H456">
        <v>6.965E-05</v>
      </c>
      <c r="I456">
        <v>6.79E-05</v>
      </c>
      <c r="J456">
        <v>0.00013755</v>
      </c>
    </row>
    <row r="457" spans="1:10">
      <c r="A457">
        <f>HYPERLINK("https://mega.nz/file/SJkkmDxB#7XIUShPQXzu4pWFJ4Vxv8CApjQmEVRXtewei8hJMrFU", "Ruby Tablet of Set")</f>
        <v>0</v>
      </c>
      <c r="B457" t="s">
        <v>44</v>
      </c>
      <c r="C457" t="s">
        <v>933</v>
      </c>
      <c r="D457" t="s">
        <v>2236</v>
      </c>
      <c r="E457" t="s">
        <v>3117</v>
      </c>
      <c r="F457" t="s">
        <v>3131</v>
      </c>
      <c r="G457" s="2" t="s">
        <v>3587</v>
      </c>
      <c r="H457">
        <v>5.88E-05</v>
      </c>
      <c r="I457">
        <v>5.565E-05</v>
      </c>
      <c r="J457">
        <v>0.00011445</v>
      </c>
    </row>
    <row r="458" spans="1:10">
      <c r="A458">
        <f>HYPERLINK("https://mega.nz/file/7JtDQL4C#5sXx4iJRMUDrNyDy_dzumVR0_0ckCma8bLe4UNt4wMo", "Rudraksha")</f>
        <v>0</v>
      </c>
      <c r="B458" t="s">
        <v>44</v>
      </c>
      <c r="C458" t="s">
        <v>934</v>
      </c>
      <c r="D458" t="s">
        <v>2237</v>
      </c>
      <c r="E458" t="s">
        <v>3117</v>
      </c>
      <c r="F458" t="s">
        <v>3131</v>
      </c>
      <c r="G458" s="2" t="s">
        <v>3588</v>
      </c>
      <c r="H458">
        <v>5.775E-05</v>
      </c>
      <c r="I458">
        <v>4.06E-05</v>
      </c>
      <c r="J458">
        <v>9.835000000000001E-05</v>
      </c>
    </row>
    <row r="459" spans="1:10">
      <c r="A459">
        <f>HYPERLINK("https://mega.nz/file/aA8DwKSa#R_GsnVnfrax4V9LEtL-J5KPyvaWYdyW47bq5sSnBt-w", "Rune = Magic")</f>
        <v>0</v>
      </c>
      <c r="B459" t="s">
        <v>44</v>
      </c>
      <c r="C459" t="s">
        <v>935</v>
      </c>
      <c r="D459" t="s">
        <v>2238</v>
      </c>
      <c r="E459" t="s">
        <v>3124</v>
      </c>
      <c r="F459" t="s">
        <v>3131</v>
      </c>
      <c r="G459" s="2" t="s">
        <v>3589</v>
      </c>
      <c r="H459">
        <v>5.88E-05</v>
      </c>
      <c r="I459">
        <v>4.725E-05</v>
      </c>
      <c r="J459">
        <v>0.00010605</v>
      </c>
    </row>
    <row r="460" spans="1:10">
      <c r="A460">
        <f>HYPERLINK("https://mega.nz/file/WB0kDZhZ#1oJtm0w5QK6wb5Az7Aniu8afdaCLujbve_A2LuCL5OA", "Rune Ceremonials")</f>
        <v>0</v>
      </c>
      <c r="B460" t="s">
        <v>44</v>
      </c>
      <c r="C460" t="s">
        <v>936</v>
      </c>
      <c r="D460" t="s">
        <v>2239</v>
      </c>
      <c r="E460" t="s">
        <v>3124</v>
      </c>
      <c r="F460" t="s">
        <v>3131</v>
      </c>
      <c r="G460" s="2" t="s">
        <v>3590</v>
      </c>
      <c r="H460">
        <v>5.88E-05</v>
      </c>
      <c r="I460">
        <v>5.355E-05</v>
      </c>
      <c r="J460">
        <v>0.00011235</v>
      </c>
    </row>
    <row r="461" spans="1:10">
      <c r="A461">
        <f>HYPERLINK("https://mega.nz/file/uAlSABTR#XcFi8RgNXl4qrkqEqEk0kEbOMQgKqMk_UDWtXqET_U0", "Rune Magic")</f>
        <v>0</v>
      </c>
      <c r="B461" t="s">
        <v>44</v>
      </c>
      <c r="C461" t="s">
        <v>937</v>
      </c>
      <c r="D461" t="s">
        <v>2240</v>
      </c>
      <c r="E461" t="s">
        <v>3124</v>
      </c>
      <c r="F461" t="s">
        <v>3131</v>
      </c>
      <c r="G461" s="2" t="s">
        <v>3591</v>
      </c>
      <c r="H461">
        <v>5.775E-05</v>
      </c>
      <c r="I461">
        <v>4.9E-05</v>
      </c>
      <c r="J461">
        <v>0.00010675</v>
      </c>
    </row>
    <row r="462" spans="1:10">
      <c r="A462">
        <f>HYPERLINK("https://mega.nz/file/nUEQEaAA#h61zWXqmlqbAp5H29OE-JkaB4sBVmmyzVQKQ2uvs-po", "Rune Readings")</f>
        <v>0</v>
      </c>
      <c r="B462" t="s">
        <v>44</v>
      </c>
      <c r="C462" t="s">
        <v>938</v>
      </c>
      <c r="D462" t="s">
        <v>2241</v>
      </c>
      <c r="E462" t="s">
        <v>3124</v>
      </c>
      <c r="F462" t="s">
        <v>3131</v>
      </c>
      <c r="G462" s="2" t="s">
        <v>3592</v>
      </c>
      <c r="H462">
        <v>5.775E-05</v>
      </c>
      <c r="I462">
        <v>4.62E-05</v>
      </c>
      <c r="J462">
        <v>0.00010395</v>
      </c>
    </row>
    <row r="463" spans="1:10">
      <c r="A463">
        <f>HYPERLINK("https://mega.nz/file/fdd3jBLa#B8GeEiuTYKMB4J9lVCZxFKC3n3p-iKnXXOW5FnCzrn0", "Rune Yoga Course")</f>
        <v>0</v>
      </c>
      <c r="B463" t="s">
        <v>44</v>
      </c>
      <c r="C463" t="s">
        <v>939</v>
      </c>
      <c r="D463" t="s">
        <v>2242</v>
      </c>
      <c r="E463" t="s">
        <v>3124</v>
      </c>
      <c r="F463" t="s">
        <v>3131</v>
      </c>
      <c r="G463" s="2" t="s">
        <v>3593</v>
      </c>
      <c r="H463">
        <v>5.88E-05</v>
      </c>
      <c r="I463">
        <v>5.495E-05</v>
      </c>
      <c r="J463">
        <v>0.00011375</v>
      </c>
    </row>
    <row r="464" spans="1:10">
      <c r="A464">
        <f>HYPERLINK("https://mega.nz/file/WZkRTSpD#esEoF47GLfL-zkvJAdRX39qszfxTOO_26FHS-s2VL78", "Sabbatic Kabala of the Crooked Path")</f>
        <v>0</v>
      </c>
      <c r="B464" t="s">
        <v>44</v>
      </c>
      <c r="C464" t="s">
        <v>940</v>
      </c>
      <c r="D464" t="s">
        <v>2243</v>
      </c>
      <c r="E464" t="s">
        <v>3117</v>
      </c>
      <c r="F464" t="s">
        <v>3131</v>
      </c>
      <c r="G464" s="2" t="s">
        <v>3594</v>
      </c>
      <c r="H464">
        <v>6.51E-05</v>
      </c>
      <c r="I464">
        <v>5.285E-05</v>
      </c>
      <c r="J464">
        <v>0.00011795</v>
      </c>
    </row>
    <row r="465" spans="1:10">
      <c r="A465">
        <f>HYPERLINK("https://mega.nz/file/bF00HKpQ#U8SxgFuxi1yJfjbjkJgH2IVJ5ycoqNIfc3eb1itVywk", "Sacred Magic Of Abramelin The Mage I")</f>
        <v>0</v>
      </c>
      <c r="B465" t="s">
        <v>44</v>
      </c>
      <c r="C465" t="s">
        <v>941</v>
      </c>
      <c r="D465" t="s">
        <v>2244</v>
      </c>
      <c r="E465" t="s">
        <v>3117</v>
      </c>
      <c r="F465" t="s">
        <v>3131</v>
      </c>
      <c r="G465" s="2" t="s">
        <v>3595</v>
      </c>
      <c r="H465">
        <v>6.405E-05</v>
      </c>
      <c r="I465">
        <v>5.18E-05</v>
      </c>
      <c r="J465">
        <v>0.00011585</v>
      </c>
    </row>
    <row r="466" spans="1:10">
      <c r="A466">
        <f>HYPERLINK("https://mega.nz/file/zB9SESyQ#fktc90x7ArAfOCitoM8oGXVlUJd-Zgus_rWKSWW11h0", "Sacred Magic Of Abramelin The Mage III")</f>
        <v>0</v>
      </c>
      <c r="B466" t="s">
        <v>44</v>
      </c>
      <c r="C466" t="s">
        <v>942</v>
      </c>
      <c r="D466" t="s">
        <v>2245</v>
      </c>
      <c r="E466" t="s">
        <v>3117</v>
      </c>
      <c r="F466" t="s">
        <v>3131</v>
      </c>
      <c r="G466" s="2" t="s">
        <v>3596</v>
      </c>
      <c r="H466">
        <v>6.405E-05</v>
      </c>
      <c r="I466">
        <v>5.39E-05</v>
      </c>
      <c r="J466">
        <v>0.00011795</v>
      </c>
    </row>
    <row r="467" spans="1:10">
      <c r="A467">
        <f>HYPERLINK("https://mega.nz/file/uNt11YZT#J3xpBJCKwfJ1m7LywD4MDHsUahoHxD2mGS9CutCHFcQ", "Sami Shamanism The Arctic Dimension")</f>
        <v>0</v>
      </c>
      <c r="B467" t="s">
        <v>44</v>
      </c>
      <c r="C467" t="s">
        <v>943</v>
      </c>
      <c r="D467" t="s">
        <v>2246</v>
      </c>
      <c r="E467" t="s">
        <v>3117</v>
      </c>
      <c r="F467" t="s">
        <v>3131</v>
      </c>
      <c r="G467" s="2" t="s">
        <v>3597</v>
      </c>
      <c r="H467">
        <v>6.334999999999999E-05</v>
      </c>
      <c r="I467">
        <v>5.285E-05</v>
      </c>
      <c r="J467">
        <v>0.0001162</v>
      </c>
    </row>
    <row r="468" spans="1:10">
      <c r="A468">
        <f>HYPERLINK("https://mega.nz/file/HQsQSA5T#Gb7qExjgFt9SvHTAgigcJtkshcWJfg5odWamxtEfim0", "Sanatana Dharma Gita")</f>
        <v>0</v>
      </c>
      <c r="B468" t="s">
        <v>44</v>
      </c>
      <c r="C468" t="s">
        <v>944</v>
      </c>
      <c r="D468" t="s">
        <v>2247</v>
      </c>
      <c r="E468" t="s">
        <v>3117</v>
      </c>
      <c r="F468" t="s">
        <v>3131</v>
      </c>
      <c r="G468" s="2" t="s">
        <v>3598</v>
      </c>
      <c r="H468">
        <v>5.985E-05</v>
      </c>
      <c r="I468">
        <v>5.04E-05</v>
      </c>
      <c r="J468">
        <v>0.00011025</v>
      </c>
    </row>
    <row r="469" spans="1:10">
      <c r="A469">
        <f>HYPERLINK("https://mega.nz/file/aB80ARyY#JumlNJP92kJlj6RzJxW9Y8RKqrsfrveuYXbTk5vtbxo", "Sanctum Regnum")</f>
        <v>0</v>
      </c>
      <c r="B469" t="s">
        <v>44</v>
      </c>
      <c r="C469" t="s">
        <v>945</v>
      </c>
      <c r="D469" t="s">
        <v>2248</v>
      </c>
      <c r="E469" t="s">
        <v>3117</v>
      </c>
      <c r="F469" t="s">
        <v>3131</v>
      </c>
      <c r="G469" s="2" t="s">
        <v>3599</v>
      </c>
      <c r="H469">
        <v>5.985E-05</v>
      </c>
      <c r="I469">
        <v>5.18E-05</v>
      </c>
      <c r="J469">
        <v>0.00011165</v>
      </c>
    </row>
    <row r="470" spans="1:10">
      <c r="A470">
        <f>HYPERLINK("https://mega.nz/file/ncUhWDAT#D5LgyPxSjj_S1vrJhM_b7evX11CTfol4t-E8dvFq8tE", "Sapphire Tablet of Set")</f>
        <v>0</v>
      </c>
      <c r="B470" t="s">
        <v>44</v>
      </c>
      <c r="C470" t="s">
        <v>946</v>
      </c>
      <c r="D470" t="s">
        <v>2249</v>
      </c>
      <c r="E470" t="s">
        <v>3117</v>
      </c>
      <c r="F470" t="s">
        <v>3131</v>
      </c>
      <c r="G470" s="2" t="s">
        <v>3600</v>
      </c>
      <c r="H470">
        <v>5.985E-05</v>
      </c>
      <c r="I470">
        <v>5.32E-05</v>
      </c>
      <c r="J470">
        <v>0.00011305</v>
      </c>
    </row>
    <row r="471" spans="1:10">
      <c r="A471">
        <f>HYPERLINK("https://mega.nz/file/GJ8WGKIY#Pz7RcaOp_8orB-kDpu5AvbYdMbj4uX6bOTwv_TB5PGc", "Satanicon")</f>
        <v>0</v>
      </c>
      <c r="B471" t="s">
        <v>44</v>
      </c>
      <c r="C471" t="s">
        <v>947</v>
      </c>
      <c r="D471" t="s">
        <v>2250</v>
      </c>
      <c r="E471" t="s">
        <v>3117</v>
      </c>
      <c r="F471" t="s">
        <v>3131</v>
      </c>
      <c r="G471" s="2" t="s">
        <v>3601</v>
      </c>
      <c r="H471">
        <v>5.775E-05</v>
      </c>
      <c r="I471">
        <v>5.81E-05</v>
      </c>
      <c r="J471">
        <v>0.00011585</v>
      </c>
    </row>
    <row r="472" spans="1:10">
      <c r="A472">
        <f>HYPERLINK("https://mega.nz/file/bNFwHZyZ#YBfALhwjz0wCzEFY1b4ZovRKskiNjzv8qV0GX9bhVxQ", "Satanism - An Examination of Satanic Black Magic")</f>
        <v>0</v>
      </c>
      <c r="B472" t="s">
        <v>44</v>
      </c>
      <c r="C472" t="s">
        <v>948</v>
      </c>
      <c r="D472" t="s">
        <v>2251</v>
      </c>
      <c r="E472" t="s">
        <v>3117</v>
      </c>
      <c r="F472" t="s">
        <v>3131</v>
      </c>
      <c r="G472" s="2" t="s">
        <v>3602</v>
      </c>
      <c r="H472">
        <v>6.615E-05</v>
      </c>
      <c r="I472">
        <v>5.46E-05</v>
      </c>
      <c r="J472">
        <v>0.00012075</v>
      </c>
    </row>
    <row r="473" spans="1:10">
      <c r="A473">
        <f>HYPERLINK("https://mega.nz/file/DdEHRRiZ#Mh7KCGczuGNr7D1lPfD6LD1QN2t_fHVj1TqJQCcRbCo", "Satanism - Tantrism and the Left Hand Path")</f>
        <v>0</v>
      </c>
      <c r="B473" t="s">
        <v>44</v>
      </c>
      <c r="C473" t="s">
        <v>949</v>
      </c>
      <c r="D473" t="s">
        <v>2252</v>
      </c>
      <c r="E473" t="s">
        <v>3117</v>
      </c>
      <c r="F473" t="s">
        <v>3131</v>
      </c>
      <c r="G473" s="2" t="s">
        <v>3603</v>
      </c>
      <c r="H473">
        <v>6.719999999999999E-05</v>
      </c>
      <c r="I473">
        <v>5.355E-05</v>
      </c>
      <c r="J473">
        <v>0.00012075</v>
      </c>
    </row>
    <row r="474" spans="1:10">
      <c r="A474">
        <f>HYPERLINK("https://mega.nz/file/uMlwXIga#EDbOrtgM24Dv3FMmZBZ1DTMF9Ai6lE_VNYOemVH0cxw", "Satanist's Diaries - I'm Walking Backwards to Xmas")</f>
        <v>0</v>
      </c>
      <c r="B474" t="s">
        <v>44</v>
      </c>
      <c r="C474" t="s">
        <v>950</v>
      </c>
      <c r="D474" t="s">
        <v>2253</v>
      </c>
      <c r="E474" t="s">
        <v>3117</v>
      </c>
      <c r="F474" t="s">
        <v>3131</v>
      </c>
      <c r="G474" s="2" t="s">
        <v>3604</v>
      </c>
      <c r="H474">
        <v>7.035E-05</v>
      </c>
      <c r="I474">
        <v>5.74E-05</v>
      </c>
      <c r="J474">
        <v>0.00012775</v>
      </c>
    </row>
    <row r="475" spans="1:10">
      <c r="A475">
        <f>HYPERLINK("https://mega.nz/file/6FtlSb6T#LO_1pMWmeAFIM3HO4aWHOWP4WgKhkt8WuEU9lHlUaEk", "Scientific Magic")</f>
        <v>0</v>
      </c>
      <c r="B475" t="s">
        <v>44</v>
      </c>
      <c r="C475" t="s">
        <v>951</v>
      </c>
      <c r="D475" t="s">
        <v>2254</v>
      </c>
      <c r="E475" t="s">
        <v>3117</v>
      </c>
      <c r="F475" t="s">
        <v>3131</v>
      </c>
      <c r="G475" s="2" t="s">
        <v>3605</v>
      </c>
      <c r="H475">
        <v>5.67E-05</v>
      </c>
      <c r="I475">
        <v>4.725E-05</v>
      </c>
      <c r="J475">
        <v>0.00010395</v>
      </c>
    </row>
    <row r="476" spans="1:10">
      <c r="A476">
        <f>HYPERLINK("https://mega.nz/file/WEEzBTxa#sNCCpUQvHN7gE2dx49evtxhVh8nW2zxBbjOWJ4b5IiY", "Secret Book of Alchemy")</f>
        <v>0</v>
      </c>
      <c r="B476" t="s">
        <v>44</v>
      </c>
      <c r="C476" t="s">
        <v>952</v>
      </c>
      <c r="D476" t="s">
        <v>2255</v>
      </c>
      <c r="E476" t="s">
        <v>1584</v>
      </c>
      <c r="F476" t="s">
        <v>3131</v>
      </c>
      <c r="G476" s="2" t="s">
        <v>3606</v>
      </c>
      <c r="H476">
        <v>5.985E-05</v>
      </c>
      <c r="I476">
        <v>5.145E-05</v>
      </c>
      <c r="J476">
        <v>0.0001113</v>
      </c>
    </row>
    <row r="477" spans="1:10">
      <c r="A477">
        <f>HYPERLINK("https://mega.nz/file/2MMkxDQT#lM5M8jJ9vmIMkYub1kmJ1Lm5tELkJCRjzCZbKt96JXU", "Secret Fire")</f>
        <v>0</v>
      </c>
      <c r="B477" t="s">
        <v>44</v>
      </c>
      <c r="C477" t="s">
        <v>953</v>
      </c>
      <c r="D477" t="s">
        <v>2256</v>
      </c>
      <c r="E477" t="s">
        <v>3117</v>
      </c>
      <c r="F477" t="s">
        <v>3131</v>
      </c>
      <c r="G477" s="2" t="s">
        <v>3607</v>
      </c>
      <c r="H477">
        <v>5.67E-05</v>
      </c>
      <c r="I477">
        <v>4.655E-05</v>
      </c>
      <c r="J477">
        <v>0.00010325</v>
      </c>
    </row>
    <row r="478" spans="1:10">
      <c r="A478">
        <f>HYPERLINK("https://mega.nz/file/6E0DAZpZ#xTjFpfymh4b7wjJrNjqVZxCJjDvZlA7XbqT9a948UXQ", "Secret of the Dark Mirror")</f>
        <v>0</v>
      </c>
      <c r="B478" t="s">
        <v>44</v>
      </c>
      <c r="C478" t="s">
        <v>954</v>
      </c>
      <c r="D478" t="s">
        <v>2257</v>
      </c>
      <c r="E478" t="s">
        <v>3117</v>
      </c>
      <c r="F478" t="s">
        <v>3131</v>
      </c>
      <c r="G478" s="2" t="s">
        <v>3608</v>
      </c>
      <c r="H478">
        <v>5.985E-05</v>
      </c>
      <c r="I478">
        <v>4.41E-05</v>
      </c>
      <c r="J478">
        <v>0.00010395</v>
      </c>
    </row>
    <row r="479" spans="1:10">
      <c r="A479">
        <f>HYPERLINK("https://mega.nz/file/Gc0k0arb#zeHWEes8BCM9JyW9M2eXm0z2Ux3nGwUQ0kGGsyR7Clg", "Secret of the Gothic God of Darkness")</f>
        <v>0</v>
      </c>
      <c r="B479" t="s">
        <v>44</v>
      </c>
      <c r="C479" t="s">
        <v>955</v>
      </c>
      <c r="D479" t="s">
        <v>2258</v>
      </c>
      <c r="E479" t="s">
        <v>3117</v>
      </c>
      <c r="F479" t="s">
        <v>3131</v>
      </c>
      <c r="G479" s="2" t="s">
        <v>3609</v>
      </c>
      <c r="H479">
        <v>6.195E-05</v>
      </c>
      <c r="I479">
        <v>5.18E-05</v>
      </c>
      <c r="J479">
        <v>0.00011375</v>
      </c>
    </row>
    <row r="480" spans="1:10">
      <c r="A480">
        <f>HYPERLINK("https://mega.nz/file/Xckg1SpQ#fddVY0_GvZInJ2q1Dx502_G0lDfnywPo03Oz-MRCDrM", "Secrets and How to Keep Them")</f>
        <v>0</v>
      </c>
      <c r="B480" t="s">
        <v>44</v>
      </c>
      <c r="C480" t="s">
        <v>956</v>
      </c>
      <c r="D480" t="s">
        <v>2259</v>
      </c>
      <c r="E480" t="s">
        <v>3117</v>
      </c>
      <c r="F480" t="s">
        <v>3131</v>
      </c>
      <c r="G480" s="2" t="s">
        <v>3610</v>
      </c>
      <c r="H480">
        <v>6.09E-05</v>
      </c>
      <c r="I480">
        <v>5.845E-05</v>
      </c>
      <c r="J480">
        <v>0.00011935</v>
      </c>
    </row>
    <row r="481" spans="1:10">
      <c r="A481">
        <f>HYPERLINK("https://mega.nz/file/PYESmTZL#5HQt9aG8Dy5wgtbKasn-iaA6A4A8Jw0QEGzvJFK18TQ", "Seeds of the World Tree")</f>
        <v>0</v>
      </c>
      <c r="B481" t="s">
        <v>44</v>
      </c>
      <c r="C481" t="s">
        <v>957</v>
      </c>
      <c r="D481" t="s">
        <v>2260</v>
      </c>
      <c r="E481" t="s">
        <v>3117</v>
      </c>
      <c r="F481" t="s">
        <v>3131</v>
      </c>
      <c r="G481" s="2" t="s">
        <v>3611</v>
      </c>
      <c r="H481">
        <v>5.985E-05</v>
      </c>
      <c r="I481">
        <v>4.83E-05</v>
      </c>
      <c r="J481">
        <v>0.00010815</v>
      </c>
    </row>
    <row r="482" spans="1:10">
      <c r="A482">
        <f>HYPERLINK("https://mega.nz/file/CUtA2TiI#W_duu5tNjtBegzXkjBMMtwl3MUEiYL-nBg2t5At0DCE", "Sefer-Ha-Kabbalah")</f>
        <v>0</v>
      </c>
      <c r="B482" t="s">
        <v>44</v>
      </c>
      <c r="C482" t="s">
        <v>958</v>
      </c>
      <c r="D482" t="s">
        <v>2261</v>
      </c>
      <c r="E482" t="s">
        <v>3118</v>
      </c>
      <c r="F482" t="s">
        <v>3131</v>
      </c>
      <c r="G482" s="2" t="s">
        <v>3612</v>
      </c>
      <c r="H482">
        <v>6.3E-05</v>
      </c>
      <c r="I482">
        <v>5.495E-05</v>
      </c>
      <c r="J482">
        <v>0.00011795</v>
      </c>
    </row>
    <row r="483" spans="1:10">
      <c r="A483">
        <f>HYPERLINK("https://mega.nz/file/uMNDQAJQ#g4SBiYFpxGfo11PNUSbB_xN6_O8Gs5o9CxM9azrBcYU", "Segunda Leccion Teorica")</f>
        <v>0</v>
      </c>
      <c r="B483" t="s">
        <v>44</v>
      </c>
      <c r="C483" t="s">
        <v>959</v>
      </c>
      <c r="D483" t="s">
        <v>2262</v>
      </c>
      <c r="E483" t="s">
        <v>3117</v>
      </c>
      <c r="F483" t="s">
        <v>3131</v>
      </c>
      <c r="G483" s="2" t="s">
        <v>3613</v>
      </c>
      <c r="H483">
        <v>6.195E-05</v>
      </c>
      <c r="I483">
        <v>5.285E-05</v>
      </c>
      <c r="J483">
        <v>0.0001148</v>
      </c>
    </row>
    <row r="484" spans="1:10">
      <c r="A484">
        <f>HYPERLINK("https://mega.nz/file/3JliiaIQ#3ORFXj5ucT6izwiYAcbIs7_hEGaqBWCVZhkx4HOWdSo", "Seidr Magic")</f>
        <v>0</v>
      </c>
      <c r="B484" t="s">
        <v>44</v>
      </c>
      <c r="C484" t="s">
        <v>960</v>
      </c>
      <c r="D484" t="s">
        <v>2263</v>
      </c>
      <c r="E484" t="s">
        <v>3117</v>
      </c>
      <c r="F484" t="s">
        <v>3131</v>
      </c>
      <c r="G484" s="2" t="s">
        <v>3614</v>
      </c>
      <c r="H484">
        <v>5.88E-05</v>
      </c>
      <c r="I484">
        <v>5.705E-05</v>
      </c>
      <c r="J484">
        <v>0.00011585</v>
      </c>
    </row>
    <row r="485" spans="1:10">
      <c r="A485">
        <f>HYPERLINK("https://mega.nz/file/6YEzyBKI#eyh6m54VmkYVtoedxTrH5xKpFYC1aIh4gVJx8wf8LG0", "Sepher Ha Zohar - Sifra Detzniyutha")</f>
        <v>0</v>
      </c>
      <c r="B485" t="s">
        <v>44</v>
      </c>
      <c r="C485" t="s">
        <v>961</v>
      </c>
      <c r="D485" t="s">
        <v>2264</v>
      </c>
      <c r="E485" t="s">
        <v>3118</v>
      </c>
      <c r="F485" t="s">
        <v>3131</v>
      </c>
      <c r="G485" s="2" t="s">
        <v>3615</v>
      </c>
      <c r="H485">
        <v>6.825000000000001E-05</v>
      </c>
      <c r="I485">
        <v>6.439999999999999E-05</v>
      </c>
      <c r="J485">
        <v>0.00013265</v>
      </c>
    </row>
    <row r="486" spans="1:10">
      <c r="A486">
        <f>HYPERLINK("https://mega.nz/file/KQVRHZYB#TgcdxXC1AKyXgh38XBQ1fXD0N0doaeuIzyWQsQuIYbw", "Sepher Ha-Bahir")</f>
        <v>0</v>
      </c>
      <c r="B486" t="s">
        <v>44</v>
      </c>
      <c r="C486" t="s">
        <v>962</v>
      </c>
      <c r="D486" t="s">
        <v>2265</v>
      </c>
      <c r="E486" t="s">
        <v>3118</v>
      </c>
      <c r="F486" t="s">
        <v>3131</v>
      </c>
      <c r="G486" s="2" t="s">
        <v>3616</v>
      </c>
      <c r="H486">
        <v>6.09E-05</v>
      </c>
      <c r="I486">
        <v>5.775E-05</v>
      </c>
      <c r="J486">
        <v>0.00011865</v>
      </c>
    </row>
    <row r="487" spans="1:10">
      <c r="A487">
        <f>HYPERLINK("https://mega.nz/file/iVdD1KjI#zCSFOu0MKTUSOfkgfXIdqbBIH7xLktjF9hwdqlVH3E4", "Sepher Sephiroth")</f>
        <v>0</v>
      </c>
      <c r="B487" t="s">
        <v>44</v>
      </c>
      <c r="C487" t="s">
        <v>491</v>
      </c>
      <c r="D487" t="s">
        <v>2266</v>
      </c>
      <c r="E487" t="s">
        <v>3118</v>
      </c>
      <c r="F487" t="s">
        <v>3131</v>
      </c>
      <c r="G487" s="2" t="s">
        <v>3617</v>
      </c>
      <c r="H487">
        <v>5.985E-05</v>
      </c>
      <c r="I487">
        <v>6.439999999999999E-05</v>
      </c>
      <c r="J487">
        <v>0.00012425</v>
      </c>
    </row>
    <row r="488" spans="1:10">
      <c r="A488">
        <f>HYPERLINK("https://mega.nz/file/SAVnnKQJ#YwjjwpSvDuSxgk-bL4KoW3rkEEqq9iwaxnufFwoQrs4", "Sepher Yetzirah")</f>
        <v>0</v>
      </c>
      <c r="B488" t="s">
        <v>44</v>
      </c>
      <c r="C488" t="s">
        <v>963</v>
      </c>
      <c r="D488" t="s">
        <v>2267</v>
      </c>
      <c r="E488" t="s">
        <v>3118</v>
      </c>
      <c r="F488" t="s">
        <v>3131</v>
      </c>
      <c r="G488" s="2" t="s">
        <v>3618</v>
      </c>
      <c r="H488">
        <v>6.160000000000001E-05</v>
      </c>
      <c r="I488">
        <v>5.67E-05</v>
      </c>
      <c r="J488">
        <v>0.0001183</v>
      </c>
    </row>
    <row r="489" spans="1:10">
      <c r="A489">
        <f>HYPERLINK("https://mega.nz/file/zJkwGbgJ#915xmjSsnhNgwtwE21EWJtKuIt-2127ZQd_KGeQfuaM", "Sepher Yetzirah")</f>
        <v>0</v>
      </c>
      <c r="B489" t="s">
        <v>44</v>
      </c>
      <c r="C489" t="s">
        <v>963</v>
      </c>
      <c r="D489" t="s">
        <v>2268</v>
      </c>
      <c r="E489" t="s">
        <v>3118</v>
      </c>
      <c r="F489" t="s">
        <v>3131</v>
      </c>
      <c r="G489" s="2" t="s">
        <v>3619</v>
      </c>
      <c r="H489">
        <v>5.985E-05</v>
      </c>
      <c r="I489">
        <v>5.32E-05</v>
      </c>
      <c r="J489">
        <v>0.00011305</v>
      </c>
    </row>
    <row r="490" spans="1:10">
      <c r="A490">
        <f>HYPERLINK("https://mega.nz/file/XBkClJxR#ouczprAcdrXm0JukO20DbrkShRlYQ0M1aETAWU_lFC4", "Servitor Creation")</f>
        <v>0</v>
      </c>
      <c r="B490" t="s">
        <v>44</v>
      </c>
      <c r="C490" t="s">
        <v>964</v>
      </c>
      <c r="D490" t="s">
        <v>2269</v>
      </c>
      <c r="E490" t="s">
        <v>3117</v>
      </c>
      <c r="F490" t="s">
        <v>3131</v>
      </c>
      <c r="G490" s="2" t="s">
        <v>3620</v>
      </c>
      <c r="H490">
        <v>5.285E-05</v>
      </c>
      <c r="I490">
        <v>4.76E-05</v>
      </c>
      <c r="J490">
        <v>0.00010045</v>
      </c>
    </row>
    <row r="491" spans="1:10">
      <c r="A491">
        <f>HYPERLINK("https://mega.nz/file/fdE1iBCZ#WpkVE9lvHZszje_Ma5gC6zC3hB09tLI_zQ7Xul4LMX8", "Set in Egyptian Theology")</f>
        <v>0</v>
      </c>
      <c r="B491" t="s">
        <v>44</v>
      </c>
      <c r="C491" t="s">
        <v>965</v>
      </c>
      <c r="D491" t="s">
        <v>2270</v>
      </c>
      <c r="E491" t="s">
        <v>3128</v>
      </c>
      <c r="F491" t="s">
        <v>3131</v>
      </c>
      <c r="G491" s="2" t="s">
        <v>3621</v>
      </c>
      <c r="H491">
        <v>5.88E-05</v>
      </c>
      <c r="I491">
        <v>5.355E-05</v>
      </c>
      <c r="J491">
        <v>0.00011235</v>
      </c>
    </row>
    <row r="492" spans="1:10">
      <c r="A492">
        <f>HYPERLINK("https://mega.nz/file/idtxyZzI#AG3Uv7M8P7bJ6i19g2SZRTEu2hZ4chto9AX3j2TQFOI", "Set it Straight")</f>
        <v>0</v>
      </c>
      <c r="B492" t="s">
        <v>44</v>
      </c>
      <c r="C492" t="s">
        <v>966</v>
      </c>
      <c r="D492" t="s">
        <v>2271</v>
      </c>
      <c r="E492" t="s">
        <v>3117</v>
      </c>
      <c r="F492" t="s">
        <v>3131</v>
      </c>
      <c r="G492" s="2" t="s">
        <v>3622</v>
      </c>
      <c r="H492">
        <v>5.775E-05</v>
      </c>
      <c r="I492">
        <v>5.18E-05</v>
      </c>
      <c r="J492">
        <v>0.00010955</v>
      </c>
    </row>
    <row r="493" spans="1:10">
      <c r="A493">
        <f>HYPERLINK("https://mega.nz/file/iJ1XnJYA#dJ3Of-8O5TRVkjt1R1t7R7t4zdsvZJIWV__s9g1-cok", "Seth in the Magickal Texts")</f>
        <v>0</v>
      </c>
      <c r="B493" t="s">
        <v>44</v>
      </c>
      <c r="C493" t="s">
        <v>967</v>
      </c>
      <c r="D493" t="s">
        <v>2272</v>
      </c>
      <c r="E493" t="s">
        <v>3117</v>
      </c>
      <c r="F493" t="s">
        <v>3131</v>
      </c>
      <c r="G493" s="2" t="s">
        <v>3623</v>
      </c>
      <c r="H493">
        <v>6.195E-05</v>
      </c>
      <c r="I493">
        <v>5.18E-05</v>
      </c>
      <c r="J493">
        <v>0.00011375</v>
      </c>
    </row>
    <row r="494" spans="1:10">
      <c r="A494">
        <f>HYPERLINK("https://mega.nz/file/HF8m3KKb#Zy8iDjz5tYJiJEB0IrOJ3hQrx6MHlF3IA1aFkUhbui4", "Setian Divination")</f>
        <v>0</v>
      </c>
      <c r="B494" t="s">
        <v>44</v>
      </c>
      <c r="C494" t="s">
        <v>968</v>
      </c>
      <c r="D494" t="s">
        <v>2273</v>
      </c>
      <c r="E494" t="s">
        <v>3117</v>
      </c>
      <c r="F494" t="s">
        <v>3131</v>
      </c>
      <c r="G494" s="2" t="s">
        <v>3624</v>
      </c>
      <c r="H494">
        <v>5.88E-05</v>
      </c>
      <c r="I494">
        <v>5.635E-05</v>
      </c>
      <c r="J494">
        <v>0.00011515</v>
      </c>
    </row>
    <row r="495" spans="1:10">
      <c r="A495">
        <f>HYPERLINK("https://mega.nz/file/nEs3UTaZ#aJLAJNK5nWeutrnKXaHx0DmA9tJ9B7EOOVx4anyKccM", "Seven Shades of Solitude")</f>
        <v>0</v>
      </c>
      <c r="B495" t="s">
        <v>44</v>
      </c>
      <c r="C495" t="s">
        <v>969</v>
      </c>
      <c r="D495" t="s">
        <v>2274</v>
      </c>
      <c r="E495" t="s">
        <v>3117</v>
      </c>
      <c r="F495" t="s">
        <v>3131</v>
      </c>
      <c r="G495" s="2" t="s">
        <v>3625</v>
      </c>
      <c r="H495">
        <v>5.985E-05</v>
      </c>
      <c r="I495">
        <v>5.04E-05</v>
      </c>
      <c r="J495">
        <v>0.00011025</v>
      </c>
    </row>
    <row r="496" spans="1:10">
      <c r="A496">
        <f>HYPERLINK("https://mega.nz/file/qd8j3aDa#WNba3JmE5S79jolk3dJfXaLgp03wBOX2Ah3-aGoDLvo", "Seven Yogas for Postmoderns")</f>
        <v>0</v>
      </c>
      <c r="B496" t="s">
        <v>44</v>
      </c>
      <c r="C496" t="s">
        <v>970</v>
      </c>
      <c r="D496" t="s">
        <v>2275</v>
      </c>
      <c r="E496" t="s">
        <v>3119</v>
      </c>
      <c r="F496" t="s">
        <v>3131</v>
      </c>
      <c r="G496" s="2" t="s">
        <v>3626</v>
      </c>
      <c r="H496">
        <v>6.195E-05</v>
      </c>
      <c r="I496">
        <v>5.39E-05</v>
      </c>
      <c r="J496">
        <v>0.00011585</v>
      </c>
    </row>
    <row r="497" spans="1:10">
      <c r="A497">
        <f>HYPERLINK("https://mega.nz/file/iVkSXTSB#63xgNR5zh6IzAFpSzztRKsOrbq209rHoDHgcrhv8yE0", "Shadow over Philistia- A review of the Cult of Dagon")</f>
        <v>0</v>
      </c>
      <c r="B497" t="s">
        <v>44</v>
      </c>
      <c r="C497" t="s">
        <v>971</v>
      </c>
      <c r="D497" t="s">
        <v>2276</v>
      </c>
      <c r="E497" t="s">
        <v>3117</v>
      </c>
      <c r="F497" t="s">
        <v>3131</v>
      </c>
      <c r="G497" s="2" t="s">
        <v>3627</v>
      </c>
      <c r="H497">
        <v>6.93E-05</v>
      </c>
      <c r="I497">
        <v>5.355E-05</v>
      </c>
      <c r="J497">
        <v>0.00012285</v>
      </c>
    </row>
    <row r="498" spans="1:10">
      <c r="A498">
        <f>HYPERLINK("https://mega.nz/file/GQFFgb4Q#mMZ5fdLW9AZDqYq8ZBwOgwE-yULyanWGWkd5bHj8VXA", "Shamanismo, Brujeria y Poder")</f>
        <v>0</v>
      </c>
      <c r="B498" t="s">
        <v>44</v>
      </c>
      <c r="C498" t="s">
        <v>972</v>
      </c>
      <c r="D498" t="s">
        <v>2277</v>
      </c>
      <c r="E498" t="s">
        <v>3117</v>
      </c>
      <c r="F498" t="s">
        <v>3130</v>
      </c>
      <c r="G498" s="2" t="s">
        <v>3628</v>
      </c>
      <c r="H498">
        <v>6.405E-05</v>
      </c>
      <c r="I498">
        <v>6.79E-05</v>
      </c>
      <c r="J498">
        <v>0.00013195</v>
      </c>
    </row>
    <row r="499" spans="1:10">
      <c r="A499">
        <f>HYPERLINK("https://mega.nz/file/DEcDiQCB#yteXYpWxhk_-qooFpYX19TMAyollv-UyxwxIZZTRf88", "Sigil Magic")</f>
        <v>0</v>
      </c>
      <c r="B499" t="s">
        <v>44</v>
      </c>
      <c r="C499" t="s">
        <v>973</v>
      </c>
      <c r="D499" t="s">
        <v>2278</v>
      </c>
      <c r="E499" t="s">
        <v>3117</v>
      </c>
      <c r="F499" t="s">
        <v>3131</v>
      </c>
      <c r="G499" s="2" t="s">
        <v>3629</v>
      </c>
      <c r="H499">
        <v>5.775E-05</v>
      </c>
      <c r="I499">
        <v>4.9E-05</v>
      </c>
      <c r="J499">
        <v>0.00010675</v>
      </c>
    </row>
    <row r="500" spans="1:10">
      <c r="A500">
        <f>HYPERLINK("https://mega.nz/file/CJUggZoC#9ldMuSBR4YqcJa_-kaZ-IcgTPYDWDCVJYc0SRuj8p14", "Sigils in Theory and Practice")</f>
        <v>0</v>
      </c>
      <c r="B500" t="s">
        <v>44</v>
      </c>
      <c r="C500" t="s">
        <v>974</v>
      </c>
      <c r="D500" t="s">
        <v>2279</v>
      </c>
      <c r="E500" t="s">
        <v>3117</v>
      </c>
      <c r="F500" t="s">
        <v>3131</v>
      </c>
      <c r="G500" s="2" t="s">
        <v>3630</v>
      </c>
      <c r="H500">
        <v>6.09E-05</v>
      </c>
      <c r="I500">
        <v>5.145E-05</v>
      </c>
      <c r="J500">
        <v>0.00011235</v>
      </c>
    </row>
    <row r="501" spans="1:10">
      <c r="A501">
        <f>HYPERLINK("https://mega.nz/file/iI003bKZ#e_iismfWL91o2tYVOcYddtD0eW9LxoNG0UQzTKTFvOk", "Sigils Servitors &amp; Godforms")</f>
        <v>0</v>
      </c>
      <c r="B501" t="s">
        <v>44</v>
      </c>
      <c r="C501" t="s">
        <v>975</v>
      </c>
      <c r="D501" t="s">
        <v>2280</v>
      </c>
      <c r="E501" t="s">
        <v>3117</v>
      </c>
      <c r="F501" t="s">
        <v>3131</v>
      </c>
      <c r="G501" s="2" t="s">
        <v>3631</v>
      </c>
      <c r="H501">
        <v>6.37E-05</v>
      </c>
      <c r="I501">
        <v>4.83E-05</v>
      </c>
      <c r="J501">
        <v>0.000112</v>
      </c>
    </row>
    <row r="502" spans="1:10">
      <c r="A502">
        <f>HYPERLINK("https://mega.nz/file/WEcQGbDL#oFp4dyiUiehl4G5NKmtPYLi5IX2xORQEohj5MVhgu8U", "Sigils, Servitors and Godforms")</f>
        <v>0</v>
      </c>
      <c r="B502" t="s">
        <v>44</v>
      </c>
      <c r="C502" t="s">
        <v>976</v>
      </c>
      <c r="D502" t="s">
        <v>2281</v>
      </c>
      <c r="E502" t="s">
        <v>3117</v>
      </c>
      <c r="F502" t="s">
        <v>3131</v>
      </c>
      <c r="G502" s="2" t="s">
        <v>3632</v>
      </c>
      <c r="H502">
        <v>6.3E-05</v>
      </c>
      <c r="I502">
        <v>4.725E-05</v>
      </c>
      <c r="J502">
        <v>0.00011025</v>
      </c>
    </row>
    <row r="503" spans="1:10">
      <c r="A503">
        <f>HYPERLINK("https://mega.nz/file/OI1CjTjb#KILefFVj-KLaE2x66mxtsnmY7ID1xN_agZy8gw0P9Iw", "Six Ways of Knowledge")</f>
        <v>0</v>
      </c>
      <c r="B503" t="s">
        <v>44</v>
      </c>
      <c r="C503" t="s">
        <v>977</v>
      </c>
      <c r="D503" t="s">
        <v>2282</v>
      </c>
      <c r="E503" t="s">
        <v>3117</v>
      </c>
      <c r="F503" t="s">
        <v>3131</v>
      </c>
      <c r="G503" s="2" t="s">
        <v>3633</v>
      </c>
      <c r="H503">
        <v>5.985E-05</v>
      </c>
      <c r="I503">
        <v>4.935E-05</v>
      </c>
      <c r="J503">
        <v>0.0001092</v>
      </c>
    </row>
    <row r="504" spans="1:10">
      <c r="A504">
        <f>HYPERLINK("https://mega.nz/file/WMVzwCjB#qS33uQVgRdT2bc2j4hLTyJW8Ug1VdNDWi7MnLMO4fVQ", "Sobre Cabala y Judaismo")</f>
        <v>0</v>
      </c>
      <c r="B504" t="s">
        <v>44</v>
      </c>
      <c r="C504" t="s">
        <v>978</v>
      </c>
      <c r="D504" t="s">
        <v>2283</v>
      </c>
      <c r="E504" t="s">
        <v>3118</v>
      </c>
      <c r="F504" t="s">
        <v>3130</v>
      </c>
      <c r="G504" s="2" t="s">
        <v>3634</v>
      </c>
      <c r="H504">
        <v>6.195E-05</v>
      </c>
      <c r="I504">
        <v>7.35E-05</v>
      </c>
      <c r="J504">
        <v>0.00013545</v>
      </c>
    </row>
    <row r="505" spans="1:10">
      <c r="A505">
        <f>HYPERLINK("https://mega.nz/file/eZl0mKTD#WJPTdhMZXNvy_HiXq-YW_Hlz4dRwJ_-XN_1ygURGyvA", "Solve et Coagula- Attitudes Toward the Ambrosial Aspects of Human Seed in Certain Yogic Traditions and in the Sexual Magick of Aleister Crowley")</f>
        <v>0</v>
      </c>
      <c r="B505" t="s">
        <v>44</v>
      </c>
      <c r="C505" t="s">
        <v>979</v>
      </c>
      <c r="D505" t="s">
        <v>2284</v>
      </c>
      <c r="E505" t="s">
        <v>3117</v>
      </c>
      <c r="F505" t="s">
        <v>3131</v>
      </c>
      <c r="G505" s="2" t="s">
        <v>3635</v>
      </c>
      <c r="H505">
        <v>8.610000000000001E-05</v>
      </c>
      <c r="I505">
        <v>6.475E-05</v>
      </c>
      <c r="J505">
        <v>0.00015085</v>
      </c>
    </row>
    <row r="506" spans="1:10">
      <c r="A506">
        <f>HYPERLINK("https://mega.nz/file/bBtSiCSC#plPDFv90CfEiVq2C1ykUD0B6SKPN-BGAi1srO4Gbmls", "States of Consciousness and Rock and Cave Art")</f>
        <v>0</v>
      </c>
      <c r="B506" t="s">
        <v>44</v>
      </c>
      <c r="C506" t="s">
        <v>980</v>
      </c>
      <c r="D506" t="s">
        <v>2285</v>
      </c>
      <c r="E506" t="s">
        <v>3117</v>
      </c>
      <c r="F506" t="s">
        <v>3131</v>
      </c>
      <c r="G506" s="2" t="s">
        <v>3636</v>
      </c>
      <c r="H506">
        <v>6.3E-05</v>
      </c>
      <c r="I506">
        <v>5.635E-05</v>
      </c>
      <c r="J506">
        <v>0.00011935</v>
      </c>
    </row>
    <row r="507" spans="1:10">
      <c r="A507">
        <f>HYPERLINK("https://mega.nz/file/bUNDhTjL#ScPmu406j3qYMbdUBk9T0m3gwoUMFPAhRyW0Slu_2IE", "Sumerian Gods and Goddesses")</f>
        <v>0</v>
      </c>
      <c r="B507" t="s">
        <v>44</v>
      </c>
      <c r="C507" t="s">
        <v>981</v>
      </c>
      <c r="D507" t="s">
        <v>2286</v>
      </c>
      <c r="E507" t="s">
        <v>3117</v>
      </c>
      <c r="F507" t="s">
        <v>3131</v>
      </c>
      <c r="G507" s="2" t="s">
        <v>3637</v>
      </c>
      <c r="H507">
        <v>6.3E-05</v>
      </c>
      <c r="I507">
        <v>5.32E-05</v>
      </c>
      <c r="J507">
        <v>0.0001162</v>
      </c>
    </row>
    <row r="508" spans="1:10">
      <c r="A508">
        <f>HYPERLINK("https://mega.nz/file/6MMCWDSC#N9f6r4cAvwgkeYFnQAQCjpXhbI45Vbd7ZbB7NWHigx8", "Sumerian Mythology")</f>
        <v>0</v>
      </c>
      <c r="B508" t="s">
        <v>44</v>
      </c>
      <c r="C508" t="s">
        <v>982</v>
      </c>
      <c r="D508" t="s">
        <v>2287</v>
      </c>
      <c r="E508" t="s">
        <v>3117</v>
      </c>
      <c r="F508" t="s">
        <v>3131</v>
      </c>
      <c r="G508" s="2" t="s">
        <v>3638</v>
      </c>
      <c r="H508">
        <v>5.88E-05</v>
      </c>
      <c r="I508">
        <v>5.215E-05</v>
      </c>
      <c r="J508">
        <v>0.00011095</v>
      </c>
    </row>
    <row r="509" spans="1:10">
      <c r="A509">
        <f>HYPERLINK("https://mega.nz/file/WEMH1JYL#g1hoRNDL4-tnbHun7-stPGPU4Vgzy4x3Wkq6c_0RleI", "Summa Daemoniaca")</f>
        <v>0</v>
      </c>
      <c r="B509" t="s">
        <v>44</v>
      </c>
      <c r="C509" t="s">
        <v>983</v>
      </c>
      <c r="D509" t="s">
        <v>2288</v>
      </c>
      <c r="E509" t="s">
        <v>3117</v>
      </c>
      <c r="F509" t="s">
        <v>3131</v>
      </c>
      <c r="G509" s="2" t="s">
        <v>3639</v>
      </c>
      <c r="H509">
        <v>6.125E-05</v>
      </c>
      <c r="I509">
        <v>5.565E-05</v>
      </c>
      <c r="J509">
        <v>0.0001169</v>
      </c>
    </row>
    <row r="510" spans="1:10">
      <c r="A510">
        <f>HYPERLINK("https://mega.nz/file/CZUmFCCZ#SBtov7mSjIuZ9H18Ymx1ohdFsHEAi0zkNUmLp5kTafo", "Summoning Spirits")</f>
        <v>0</v>
      </c>
      <c r="B510" t="s">
        <v>44</v>
      </c>
      <c r="C510" t="s">
        <v>984</v>
      </c>
      <c r="D510" t="s">
        <v>2289</v>
      </c>
      <c r="E510" t="s">
        <v>3117</v>
      </c>
      <c r="F510" t="s">
        <v>3131</v>
      </c>
      <c r="G510" s="2" t="s">
        <v>3640</v>
      </c>
      <c r="H510">
        <v>5.88E-05</v>
      </c>
      <c r="I510">
        <v>5.145E-05</v>
      </c>
      <c r="J510">
        <v>0.00011025</v>
      </c>
    </row>
    <row r="511" spans="1:10">
      <c r="A511">
        <f>HYPERLINK("https://mega.nz/file/iRUEBIqZ#-qkVUyCByKlBXxPutNo2sL-sIgsUp6mskU3wc8Y8bxY", "Sword Of Moses")</f>
        <v>0</v>
      </c>
      <c r="B511" t="s">
        <v>44</v>
      </c>
      <c r="C511" t="s">
        <v>985</v>
      </c>
      <c r="D511" t="s">
        <v>2290</v>
      </c>
      <c r="E511" t="s">
        <v>3117</v>
      </c>
      <c r="F511" t="s">
        <v>3131</v>
      </c>
      <c r="G511" s="2" t="s">
        <v>3641</v>
      </c>
      <c r="H511">
        <v>5.775E-05</v>
      </c>
      <c r="I511">
        <v>5.46E-05</v>
      </c>
      <c r="J511">
        <v>0.00011235</v>
      </c>
    </row>
    <row r="512" spans="1:10">
      <c r="A512">
        <f>HYPERLINK("https://mega.nz/file/CUk2BTiI#gGrZR3K2B2DvfMfzzoroqWQJVx0X7dWeKlXPNH5oDgg", "Symbolism")</f>
        <v>0</v>
      </c>
      <c r="B512" t="s">
        <v>44</v>
      </c>
      <c r="C512" t="s">
        <v>986</v>
      </c>
      <c r="D512" t="s">
        <v>2291</v>
      </c>
      <c r="E512" t="s">
        <v>3117</v>
      </c>
      <c r="F512" t="s">
        <v>3131</v>
      </c>
      <c r="G512" s="2" t="s">
        <v>3642</v>
      </c>
      <c r="H512">
        <v>5.67E-05</v>
      </c>
      <c r="I512">
        <v>5.285E-05</v>
      </c>
      <c r="J512">
        <v>0.00010955</v>
      </c>
    </row>
    <row r="513" spans="1:10">
      <c r="A513">
        <f>HYPERLINK("https://mega.nz/file/LAVVDBib#l7IC5GoqgDQIx2wym7r1Mq-BTaCVhN1KddlCjp2WqCM", "Symbolism of the Tarot")</f>
        <v>0</v>
      </c>
      <c r="B513" t="s">
        <v>44</v>
      </c>
      <c r="C513" t="s">
        <v>987</v>
      </c>
      <c r="D513" t="s">
        <v>2292</v>
      </c>
      <c r="E513" t="s">
        <v>1188</v>
      </c>
      <c r="F513" t="s">
        <v>3131</v>
      </c>
      <c r="G513" s="2" t="s">
        <v>3643</v>
      </c>
      <c r="H513">
        <v>5.985E-05</v>
      </c>
      <c r="I513">
        <v>5.18E-05</v>
      </c>
      <c r="J513">
        <v>0.00011165</v>
      </c>
    </row>
    <row r="514" spans="1:10">
      <c r="A514">
        <f>HYPERLINK("https://mega.nz/file/CQUVhByQ#8khrPaG25QIyfQZ5oK9g9cdVE55nJ8lmxv6gHRf2cSk", "Symbols of Protection The Significance of Animal-ornamented Shields in Early Anglo-Saxon England")</f>
        <v>0</v>
      </c>
      <c r="B514" t="s">
        <v>44</v>
      </c>
      <c r="C514" t="s">
        <v>988</v>
      </c>
      <c r="D514" t="s">
        <v>2293</v>
      </c>
      <c r="E514" t="s">
        <v>3117</v>
      </c>
      <c r="F514" t="s">
        <v>3131</v>
      </c>
      <c r="G514" s="2" t="s">
        <v>3644</v>
      </c>
      <c r="H514">
        <v>7.455E-05</v>
      </c>
      <c r="I514">
        <v>5.565E-05</v>
      </c>
      <c r="J514">
        <v>0.0001302</v>
      </c>
    </row>
    <row r="515" spans="1:10">
      <c r="A515">
        <f>HYPERLINK("https://mega.nz/file/eN0VkYDI#A3uV5GRyhM8D6VMXtoolgllDI0ehnzw3boHFUOEMuqM", "Symbols of the Invisible Fraternity of Freemasons")</f>
        <v>0</v>
      </c>
      <c r="B515" t="s">
        <v>44</v>
      </c>
      <c r="C515" t="s">
        <v>989</v>
      </c>
      <c r="D515" t="s">
        <v>2294</v>
      </c>
      <c r="E515" t="s">
        <v>3117</v>
      </c>
      <c r="F515" t="s">
        <v>3131</v>
      </c>
      <c r="G515" s="2" t="s">
        <v>3645</v>
      </c>
      <c r="H515">
        <v>6.3E-05</v>
      </c>
      <c r="I515">
        <v>4.375E-05</v>
      </c>
      <c r="J515">
        <v>0.00010675</v>
      </c>
    </row>
    <row r="516" spans="1:10">
      <c r="A516">
        <f>HYPERLINK("https://mega.nz/file/2QsnlZCY#8K927UxqvQ1kuA52xJ3RUCQOnwyv_hBFYB4g8FYocp0", "Tabula Maxima Hiperborea")</f>
        <v>0</v>
      </c>
      <c r="B516" t="s">
        <v>44</v>
      </c>
      <c r="C516" t="s">
        <v>990</v>
      </c>
      <c r="D516" t="s">
        <v>2295</v>
      </c>
      <c r="E516" t="s">
        <v>3117</v>
      </c>
      <c r="F516" t="s">
        <v>3131</v>
      </c>
      <c r="G516" s="2" t="s">
        <v>3646</v>
      </c>
      <c r="H516">
        <v>6.615E-05</v>
      </c>
      <c r="I516">
        <v>5.985E-05</v>
      </c>
      <c r="J516">
        <v>0.000126</v>
      </c>
    </row>
    <row r="517" spans="1:10">
      <c r="A517">
        <f>HYPERLINK("https://mega.nz/file/fQsmERiJ#f_mMqqX3Kw6k3EgWtFrM0uWyfy7PfhTYhFhCaO6VDhM", "Tacticus discordianorum")</f>
        <v>0</v>
      </c>
      <c r="B517" t="s">
        <v>44</v>
      </c>
      <c r="C517" t="s">
        <v>991</v>
      </c>
      <c r="D517" t="s">
        <v>2296</v>
      </c>
      <c r="E517" t="s">
        <v>3117</v>
      </c>
      <c r="F517" t="s">
        <v>3131</v>
      </c>
      <c r="G517" s="2" t="s">
        <v>3647</v>
      </c>
      <c r="H517">
        <v>6.195E-05</v>
      </c>
      <c r="I517">
        <v>4.935E-05</v>
      </c>
      <c r="J517">
        <v>0.0001113</v>
      </c>
    </row>
    <row r="518" spans="1:10">
      <c r="A518">
        <f>HYPERLINK("https://mega.nz/file/aJMngSYR#LmXP-6iRIypIyWFn6syxOHXkj_woL5oPJ7mD6hMvmg8", "Tannhauser")</f>
        <v>0</v>
      </c>
      <c r="B518" t="s">
        <v>44</v>
      </c>
      <c r="C518" t="s">
        <v>992</v>
      </c>
      <c r="D518" t="s">
        <v>2297</v>
      </c>
      <c r="E518" t="s">
        <v>3117</v>
      </c>
      <c r="F518" t="s">
        <v>3131</v>
      </c>
      <c r="G518" s="2" t="s">
        <v>3648</v>
      </c>
      <c r="H518">
        <v>5.775E-05</v>
      </c>
      <c r="I518">
        <v>4.55E-05</v>
      </c>
      <c r="J518">
        <v>0.00010325</v>
      </c>
    </row>
    <row r="519" spans="1:10">
      <c r="A519">
        <f>HYPERLINK("https://mega.nz/file/2Rs3yBSC#MFc8QbJdFb3eVxoWpGR_0aFQPsQ8EuG48-HBEvc5buQ", "Tantra el arte del amor consciente")</f>
        <v>0</v>
      </c>
      <c r="B519" t="s">
        <v>44</v>
      </c>
      <c r="C519" t="s">
        <v>993</v>
      </c>
      <c r="D519" t="s">
        <v>2298</v>
      </c>
      <c r="E519" t="s">
        <v>3119</v>
      </c>
      <c r="F519" t="s">
        <v>3130</v>
      </c>
      <c r="G519" s="2" t="s">
        <v>3649</v>
      </c>
      <c r="H519">
        <v>6.195E-05</v>
      </c>
      <c r="I519">
        <v>6.65E-05</v>
      </c>
      <c r="J519">
        <v>0.00012845</v>
      </c>
    </row>
    <row r="520" spans="1:10">
      <c r="A520">
        <f>HYPERLINK("https://mega.nz/file/uVcwhaBQ#f-ML_OhY6eD8_vtRuu-vPZ3OaOmOfU7STZYJ1ohi_IY", "Tantra of Blowing the Mind")</f>
        <v>0</v>
      </c>
      <c r="B520" t="s">
        <v>44</v>
      </c>
      <c r="C520" t="s">
        <v>994</v>
      </c>
      <c r="D520" t="s">
        <v>2299</v>
      </c>
      <c r="E520" t="s">
        <v>3119</v>
      </c>
      <c r="F520" t="s">
        <v>3131</v>
      </c>
      <c r="G520" s="2" t="s">
        <v>3650</v>
      </c>
      <c r="H520">
        <v>6.09E-05</v>
      </c>
      <c r="I520">
        <v>5.635E-05</v>
      </c>
      <c r="J520">
        <v>0.00011725</v>
      </c>
    </row>
    <row r="521" spans="1:10">
      <c r="A521">
        <f>HYPERLINK("https://mega.nz/file/6N8DhBhY#rlKMIRMCailbsomVmyQ5dSUbVjrcLOoVWj3EqNtNYjs", "Tantric Body")</f>
        <v>0</v>
      </c>
      <c r="B521" t="s">
        <v>44</v>
      </c>
      <c r="C521" t="s">
        <v>995</v>
      </c>
      <c r="D521" t="s">
        <v>2300</v>
      </c>
      <c r="E521" t="s">
        <v>3117</v>
      </c>
      <c r="F521" t="s">
        <v>3131</v>
      </c>
      <c r="G521" s="2" t="s">
        <v>3651</v>
      </c>
      <c r="H521">
        <v>5.88E-05</v>
      </c>
      <c r="I521">
        <v>4.655E-05</v>
      </c>
      <c r="J521">
        <v>0.00010535</v>
      </c>
    </row>
    <row r="522" spans="1:10">
      <c r="A522">
        <f>HYPERLINK("https://mega.nz/file/uBEW3bbR#1UGEHDLCmavuPqMX_4JFIdDVq2n2fseXtJ-JSpWv4XU", "Tantrum Magick")</f>
        <v>0</v>
      </c>
      <c r="B522" t="s">
        <v>44</v>
      </c>
      <c r="C522" t="s">
        <v>996</v>
      </c>
      <c r="D522" t="s">
        <v>2301</v>
      </c>
      <c r="E522" t="s">
        <v>3117</v>
      </c>
      <c r="F522" t="s">
        <v>3131</v>
      </c>
      <c r="G522" s="2" t="s">
        <v>3652</v>
      </c>
      <c r="H522">
        <v>5.985E-05</v>
      </c>
      <c r="I522">
        <v>5.46E-05</v>
      </c>
      <c r="J522">
        <v>0.00011445</v>
      </c>
    </row>
    <row r="523" spans="1:10">
      <c r="A523">
        <f>HYPERLINK("https://mega.nz/file/uMtF3ZjQ#ltSepNAUXDqeH1rQJmUVNbwg4Qyw9nH2RVWIRiJgVT0", "Tarot Cards")</f>
        <v>0</v>
      </c>
      <c r="B523" t="s">
        <v>44</v>
      </c>
      <c r="C523" t="s">
        <v>997</v>
      </c>
      <c r="D523" t="s">
        <v>2302</v>
      </c>
      <c r="E523" t="s">
        <v>1188</v>
      </c>
      <c r="F523" t="s">
        <v>3131</v>
      </c>
      <c r="G523" s="2" t="s">
        <v>3653</v>
      </c>
      <c r="H523">
        <v>5.775E-05</v>
      </c>
      <c r="I523">
        <v>5.95E-05</v>
      </c>
      <c r="J523">
        <v>0.00011725</v>
      </c>
    </row>
    <row r="524" spans="1:10">
      <c r="A524">
        <f>HYPERLINK("https://mega.nz/file/aJkjyIRJ#2oICe2FAQESwmawuHR3FmZFm_lsijLCEkVJQrNBHCa0", "Tarot Egipcio y Kabala")</f>
        <v>0</v>
      </c>
      <c r="B524" t="s">
        <v>44</v>
      </c>
      <c r="C524" t="s">
        <v>998</v>
      </c>
      <c r="D524" t="s">
        <v>2303</v>
      </c>
      <c r="E524" t="s">
        <v>1188</v>
      </c>
      <c r="F524" t="s">
        <v>3130</v>
      </c>
      <c r="G524" s="2" t="s">
        <v>3654</v>
      </c>
      <c r="H524">
        <v>6.3E-05</v>
      </c>
      <c r="I524">
        <v>7.525E-05</v>
      </c>
      <c r="J524">
        <v>0.00013825</v>
      </c>
    </row>
    <row r="525" spans="1:10">
      <c r="A525">
        <f>HYPERLINK("https://mega.nz/file/bINXEJZI#r7DG7Ns4b1XvX4wdDnfmnwSHH3iJ1Ee7fgIA_u7lcro", "Tartessos Sociedad Y Mundo Funerario")</f>
        <v>0</v>
      </c>
      <c r="B525" t="s">
        <v>44</v>
      </c>
      <c r="C525" t="s">
        <v>999</v>
      </c>
      <c r="D525" t="s">
        <v>2304</v>
      </c>
      <c r="E525" t="s">
        <v>3117</v>
      </c>
      <c r="F525" t="s">
        <v>3130</v>
      </c>
      <c r="G525" s="2" t="s">
        <v>3655</v>
      </c>
      <c r="H525">
        <v>6.405E-05</v>
      </c>
      <c r="I525">
        <v>7.35E-05</v>
      </c>
      <c r="J525">
        <v>0.00013755</v>
      </c>
    </row>
    <row r="526" spans="1:10">
      <c r="A526">
        <f>HYPERLINK("https://mega.nz/file/TR02nAAQ#IqctHDrxTpW8T25Yxa0CwtR3Q-R_I_Jbs7US9ttFfto", "Teachings Rosicrucians 16 &amp; 17 Cent")</f>
        <v>0</v>
      </c>
      <c r="B526" t="s">
        <v>44</v>
      </c>
      <c r="C526" t="s">
        <v>1000</v>
      </c>
      <c r="D526" t="s">
        <v>2305</v>
      </c>
      <c r="E526" t="s">
        <v>3129</v>
      </c>
      <c r="F526" t="s">
        <v>3131</v>
      </c>
      <c r="G526" s="2" t="s">
        <v>3656</v>
      </c>
      <c r="H526">
        <v>6.93E-05</v>
      </c>
      <c r="I526">
        <v>6.125E-05</v>
      </c>
      <c r="J526">
        <v>0.00013055</v>
      </c>
    </row>
    <row r="527" spans="1:10">
      <c r="A527">
        <f>HYPERLINK("https://mega.nz/file/7Yl3kJbb#nk8pIMET5mevHJYUyD9lMSANdwOXfqMkPmxuBmpCLUw", "Technicians Guide to the Left Hand Path")</f>
        <v>0</v>
      </c>
      <c r="B527" t="s">
        <v>44</v>
      </c>
      <c r="C527" t="s">
        <v>1001</v>
      </c>
      <c r="D527" t="s">
        <v>2306</v>
      </c>
      <c r="E527" t="s">
        <v>3117</v>
      </c>
      <c r="F527" t="s">
        <v>3131</v>
      </c>
      <c r="G527" s="2" t="s">
        <v>3657</v>
      </c>
      <c r="H527">
        <v>6.3E-05</v>
      </c>
      <c r="I527">
        <v>5.355E-05</v>
      </c>
      <c r="J527">
        <v>0.00011655</v>
      </c>
    </row>
    <row r="528" spans="1:10">
      <c r="A528">
        <f>HYPERLINK("https://mega.nz/file/KFNR1JSB#Mp_nnO-7HVTZUtPZjXspne2liTZFzKoQdzD4JDyIiX8", "Telekinesis")</f>
        <v>0</v>
      </c>
      <c r="B528" t="s">
        <v>44</v>
      </c>
      <c r="C528" t="s">
        <v>1002</v>
      </c>
      <c r="D528" t="s">
        <v>2307</v>
      </c>
      <c r="E528" t="s">
        <v>3117</v>
      </c>
      <c r="F528" t="s">
        <v>3131</v>
      </c>
      <c r="G528" s="2" t="s">
        <v>3658</v>
      </c>
      <c r="H528">
        <v>5.775E-05</v>
      </c>
      <c r="I528">
        <v>5.18E-05</v>
      </c>
      <c r="J528">
        <v>0.00010955</v>
      </c>
    </row>
    <row r="529" spans="1:10">
      <c r="A529">
        <f>HYPERLINK("https://mega.nz/file/7QMHGBwD#E4c2hSEHT2vXVUbAamjcr7A66VKbR4AJfuPGpFEddg4", "Telekinesis techniques")</f>
        <v>0</v>
      </c>
      <c r="B529" t="s">
        <v>44</v>
      </c>
      <c r="C529" t="s">
        <v>1003</v>
      </c>
      <c r="D529" t="s">
        <v>2308</v>
      </c>
      <c r="E529" t="s">
        <v>3117</v>
      </c>
      <c r="F529" t="s">
        <v>3131</v>
      </c>
      <c r="G529" s="2" t="s">
        <v>3659</v>
      </c>
      <c r="H529">
        <v>5.88E-05</v>
      </c>
      <c r="I529">
        <v>5.285E-05</v>
      </c>
      <c r="J529">
        <v>0.00011165</v>
      </c>
    </row>
    <row r="530" spans="1:10">
      <c r="A530">
        <f>HYPERLINK("https://mega.nz/file/OM1GiBaQ#iFJ_S8uNxquckFDHipu2MiEUqIb1nrmGvxKxNyMfAmI", "Telekinesisnow")</f>
        <v>0</v>
      </c>
      <c r="B530" t="s">
        <v>44</v>
      </c>
      <c r="C530" t="s">
        <v>1004</v>
      </c>
      <c r="D530" t="s">
        <v>2309</v>
      </c>
      <c r="E530" t="s">
        <v>3117</v>
      </c>
      <c r="F530" t="s">
        <v>3131</v>
      </c>
      <c r="G530" s="2" t="s">
        <v>3660</v>
      </c>
      <c r="H530">
        <v>5.845E-05</v>
      </c>
      <c r="I530">
        <v>5.075E-05</v>
      </c>
      <c r="J530">
        <v>0.0001092</v>
      </c>
    </row>
    <row r="531" spans="1:10">
      <c r="A531">
        <f>HYPERLINK("https://mega.nz/file/vE1QQICA#pT07G4Xd5_Z7QzsP_HsI-Up6xlmy21DdOPR3ezssSQI", "Telepathy")</f>
        <v>0</v>
      </c>
      <c r="B531" t="s">
        <v>44</v>
      </c>
      <c r="C531" t="s">
        <v>1005</v>
      </c>
      <c r="D531" t="s">
        <v>2310</v>
      </c>
      <c r="E531" t="s">
        <v>3117</v>
      </c>
      <c r="F531" t="s">
        <v>3131</v>
      </c>
      <c r="G531" s="2" t="s">
        <v>3661</v>
      </c>
      <c r="H531">
        <v>5.67E-05</v>
      </c>
      <c r="I531">
        <v>5.075E-05</v>
      </c>
      <c r="J531">
        <v>0.00010745</v>
      </c>
    </row>
    <row r="532" spans="1:10">
      <c r="A532">
        <f>HYPERLINK("https://mega.nz/file/TMtniQBI#hbhRPrmIQ43G0iT3YVFS-NsAh7yQv3pS1vjWmyjr5uQ", "Temple of Set")</f>
        <v>0</v>
      </c>
      <c r="B532" t="s">
        <v>44</v>
      </c>
      <c r="C532" t="s">
        <v>450</v>
      </c>
      <c r="D532" t="s">
        <v>2311</v>
      </c>
      <c r="E532" t="s">
        <v>3117</v>
      </c>
      <c r="F532" t="s">
        <v>3131</v>
      </c>
      <c r="G532" s="2" t="s">
        <v>3662</v>
      </c>
      <c r="H532">
        <v>5.95E-05</v>
      </c>
      <c r="I532">
        <v>5.95E-05</v>
      </c>
      <c r="J532">
        <v>0.000119</v>
      </c>
    </row>
    <row r="533" spans="1:10">
      <c r="A533">
        <f>HYPERLINK("https://mega.nz/file/vU1GQTqD#UFaLoj-f_UJj95UTf7rXD227iHjMQkcbK_5knLQFsGI", "Temple of Set - Religion and Daemonology")</f>
        <v>0</v>
      </c>
      <c r="B533" t="s">
        <v>44</v>
      </c>
      <c r="C533" t="s">
        <v>1006</v>
      </c>
      <c r="D533" t="s">
        <v>2312</v>
      </c>
      <c r="E533" t="s">
        <v>3117</v>
      </c>
      <c r="F533" t="s">
        <v>3131</v>
      </c>
      <c r="G533" s="2" t="s">
        <v>3663</v>
      </c>
      <c r="H533">
        <v>6.3E-05</v>
      </c>
      <c r="I533">
        <v>5.355E-05</v>
      </c>
      <c r="J533">
        <v>0.00011655</v>
      </c>
    </row>
    <row r="534" spans="1:10">
      <c r="A534">
        <f>HYPERLINK("https://mega.nz/file/XYM1VbQL#qGjMDvr5l6BDllBa4Fgchi7fgZyZRab_vlj4OTEhaeE", "Templum 99 - Thelema")</f>
        <v>0</v>
      </c>
      <c r="B534" t="s">
        <v>44</v>
      </c>
      <c r="C534" t="s">
        <v>1007</v>
      </c>
      <c r="D534" t="s">
        <v>2313</v>
      </c>
      <c r="E534" t="s">
        <v>3117</v>
      </c>
      <c r="F534" t="s">
        <v>3131</v>
      </c>
      <c r="G534" s="2" t="s">
        <v>3664</v>
      </c>
      <c r="H534">
        <v>6.3E-05</v>
      </c>
      <c r="I534">
        <v>5.845E-05</v>
      </c>
      <c r="J534">
        <v>0.00012145</v>
      </c>
    </row>
    <row r="535" spans="1:10">
      <c r="A535">
        <f>HYPERLINK("https://mega.nz/file/iEVggRDI#r9jtRQiCUXjJb2rhO1SFpb9wJZpyfpO24E-_8mltxKM", "Tertium Organum - A Setian View")</f>
        <v>0</v>
      </c>
      <c r="B535" t="s">
        <v>44</v>
      </c>
      <c r="C535" t="s">
        <v>1008</v>
      </c>
      <c r="D535" t="s">
        <v>2314</v>
      </c>
      <c r="E535" t="s">
        <v>3117</v>
      </c>
      <c r="F535" t="s">
        <v>3131</v>
      </c>
      <c r="G535" s="2" t="s">
        <v>3665</v>
      </c>
      <c r="H535">
        <v>6.405E-05</v>
      </c>
      <c r="I535">
        <v>5.88E-05</v>
      </c>
      <c r="J535">
        <v>0.00012285</v>
      </c>
    </row>
    <row r="536" spans="1:10">
      <c r="A536">
        <f>HYPERLINK("https://mega.nz/file/6UMiUQTI#xjDz8GNk-wAx3HryjRv0WcnKwPQNE3nqOUxDbrdnj8Y", "Testamento de Salomon")</f>
        <v>0</v>
      </c>
      <c r="B536" t="s">
        <v>44</v>
      </c>
      <c r="C536" t="s">
        <v>1009</v>
      </c>
      <c r="D536" t="s">
        <v>2315</v>
      </c>
      <c r="E536" t="s">
        <v>3117</v>
      </c>
      <c r="F536" t="s">
        <v>3130</v>
      </c>
      <c r="G536" s="2" t="s">
        <v>3666</v>
      </c>
      <c r="H536">
        <v>6.125E-05</v>
      </c>
      <c r="I536">
        <v>7.175E-05</v>
      </c>
      <c r="J536">
        <v>0.000133</v>
      </c>
    </row>
    <row r="537" spans="1:10">
      <c r="A537">
        <f>HYPERLINK("https://mega.nz/file/SZlE2aDQ#LLczCpb1JFVZjSGzsJzk3dIY7Wwo60uICUJKEM_VMeo", "Teuton")</f>
        <v>0</v>
      </c>
      <c r="B537" t="s">
        <v>44</v>
      </c>
      <c r="C537" t="s">
        <v>1010</v>
      </c>
      <c r="D537" t="s">
        <v>2316</v>
      </c>
      <c r="E537" t="s">
        <v>3117</v>
      </c>
      <c r="F537" t="s">
        <v>3131</v>
      </c>
      <c r="G537" s="2" t="s">
        <v>3667</v>
      </c>
      <c r="H537">
        <v>5.775E-05</v>
      </c>
      <c r="I537">
        <v>5.32E-05</v>
      </c>
      <c r="J537">
        <v>0.00011095</v>
      </c>
    </row>
    <row r="538" spans="1:10">
      <c r="A538">
        <f>HYPERLINK("https://mega.nz/file/mcFgWIjS#HHXI4Dsb3BUyK18dlUj1wVSGxN60FGFMrRhOUlSQP-c", "Teutonic Magic")</f>
        <v>0</v>
      </c>
      <c r="B538" t="s">
        <v>44</v>
      </c>
      <c r="C538" t="s">
        <v>1011</v>
      </c>
      <c r="D538" t="s">
        <v>2317</v>
      </c>
      <c r="E538" t="s">
        <v>3117</v>
      </c>
      <c r="F538" t="s">
        <v>3131</v>
      </c>
      <c r="G538" s="2" t="s">
        <v>3668</v>
      </c>
      <c r="H538">
        <v>5.88E-05</v>
      </c>
      <c r="I538">
        <v>6.055E-05</v>
      </c>
      <c r="J538">
        <v>0.00011935</v>
      </c>
    </row>
    <row r="539" spans="1:10">
      <c r="A539">
        <f>HYPERLINK("https://mega.nz/file/XQFWEapD#FwNW78ILfZShVoGpPweCD5rGC1UfcpG5k1DiMNhVVBc", "Teutonic Religion")</f>
        <v>0</v>
      </c>
      <c r="B539" t="s">
        <v>44</v>
      </c>
      <c r="C539" t="s">
        <v>1012</v>
      </c>
      <c r="D539" t="s">
        <v>2318</v>
      </c>
      <c r="E539" t="s">
        <v>3117</v>
      </c>
      <c r="F539" t="s">
        <v>3131</v>
      </c>
      <c r="G539" s="2" t="s">
        <v>3669</v>
      </c>
      <c r="H539">
        <v>5.88E-05</v>
      </c>
      <c r="I539">
        <v>5.005E-05</v>
      </c>
      <c r="J539">
        <v>0.00010885</v>
      </c>
    </row>
    <row r="540" spans="1:10">
      <c r="A540">
        <f>HYPERLINK("https://mega.nz/file/rd8HUQDa#LLAUzA8ewkz0IGaTD5TP3PvAvYrq7LRovu-m7jtkowc", "Textos de Qumran")</f>
        <v>0</v>
      </c>
      <c r="B540" t="s">
        <v>44</v>
      </c>
      <c r="C540" t="s">
        <v>1013</v>
      </c>
      <c r="D540" t="s">
        <v>2319</v>
      </c>
      <c r="E540" t="s">
        <v>3117</v>
      </c>
      <c r="F540" t="s">
        <v>3130</v>
      </c>
      <c r="G540" s="2" t="s">
        <v>3670</v>
      </c>
      <c r="H540">
        <v>6.160000000000001E-05</v>
      </c>
      <c r="I540">
        <v>7.245E-05</v>
      </c>
      <c r="J540">
        <v>0.00013405</v>
      </c>
    </row>
    <row r="541" spans="1:10">
      <c r="A541">
        <f>HYPERLINK("https://mega.nz/file/LRMVECSK#h4yM0TDWiQCp1VoZWM-cmgZyz3T7CtGZe0GbK7KA1dE", "Thagirion")</f>
        <v>0</v>
      </c>
      <c r="B541" t="s">
        <v>44</v>
      </c>
      <c r="C541" t="s">
        <v>1014</v>
      </c>
      <c r="D541" t="s">
        <v>2320</v>
      </c>
      <c r="E541" t="s">
        <v>3117</v>
      </c>
      <c r="F541" t="s">
        <v>3131</v>
      </c>
      <c r="G541" s="2" t="s">
        <v>3671</v>
      </c>
      <c r="H541">
        <v>5.775E-05</v>
      </c>
      <c r="I541">
        <v>5.46E-05</v>
      </c>
      <c r="J541">
        <v>0.00011235</v>
      </c>
    </row>
    <row r="542" spans="1:10">
      <c r="A542">
        <f>HYPERLINK("https://mega.nz/file/HEMh3AbA#2q3G0VyjCoMKUKVvEAAIn4atPfJpBwwpmkg0HTIutQg", "The Abyss and Tabaet")</f>
        <v>0</v>
      </c>
      <c r="B542" t="s">
        <v>44</v>
      </c>
      <c r="C542" t="s">
        <v>1015</v>
      </c>
      <c r="D542" t="s">
        <v>2321</v>
      </c>
      <c r="E542" t="s">
        <v>3117</v>
      </c>
      <c r="F542" t="s">
        <v>3131</v>
      </c>
      <c r="G542" s="2" t="s">
        <v>3672</v>
      </c>
      <c r="H542">
        <v>6.09E-05</v>
      </c>
      <c r="I542">
        <v>5.215E-05</v>
      </c>
      <c r="J542">
        <v>0.00011305</v>
      </c>
    </row>
    <row r="543" spans="1:10">
      <c r="A543">
        <f>HYPERLINK("https://mega.nz/file/7VtlgZST#7vFzHfExI306MQ-7TNi-nSkbsIcMlIjA1hM2Ke7FEr0", "The Apohpenion")</f>
        <v>0</v>
      </c>
      <c r="B543" t="s">
        <v>44</v>
      </c>
      <c r="C543" t="s">
        <v>1016</v>
      </c>
      <c r="D543" t="s">
        <v>2322</v>
      </c>
      <c r="E543" t="s">
        <v>3117</v>
      </c>
      <c r="F543" t="s">
        <v>3131</v>
      </c>
      <c r="G543" s="2" t="s">
        <v>3673</v>
      </c>
      <c r="H543">
        <v>5.985E-05</v>
      </c>
      <c r="I543">
        <v>4.9E-05</v>
      </c>
      <c r="J543">
        <v>0.00010885</v>
      </c>
    </row>
    <row r="544" spans="1:10">
      <c r="A544">
        <f>HYPERLINK("https://mega.nz/file/jMN3zZDQ#CY_2vIIhfQ7el--iypJ1gez-TUNYbSUah8Lrn0ZQldc", "The Black Raven")</f>
        <v>0</v>
      </c>
      <c r="B544" t="s">
        <v>44</v>
      </c>
      <c r="C544" t="s">
        <v>1017</v>
      </c>
      <c r="D544" t="s">
        <v>2323</v>
      </c>
      <c r="E544" t="s">
        <v>3117</v>
      </c>
      <c r="F544" t="s">
        <v>3131</v>
      </c>
      <c r="G544" s="2" t="s">
        <v>3674</v>
      </c>
      <c r="H544">
        <v>5.775E-05</v>
      </c>
      <c r="I544">
        <v>4.97E-05</v>
      </c>
      <c r="J544">
        <v>0.00010745</v>
      </c>
    </row>
    <row r="545" spans="1:10">
      <c r="A545">
        <f>HYPERLINK("https://mega.nz/file/qV8BgDJa#9JH4lkZrzJmWFm3idslNmOfkG9YukgFxtxUJqJ9M0Nk", "The Book of Ceremonial Magic")</f>
        <v>0</v>
      </c>
      <c r="B545" t="s">
        <v>44</v>
      </c>
      <c r="C545" t="s">
        <v>1018</v>
      </c>
      <c r="D545" t="s">
        <v>2324</v>
      </c>
      <c r="E545" t="s">
        <v>3117</v>
      </c>
      <c r="F545" t="s">
        <v>3131</v>
      </c>
      <c r="G545" s="2" t="s">
        <v>3675</v>
      </c>
      <c r="H545">
        <v>6.265E-05</v>
      </c>
      <c r="I545">
        <v>5.285E-05</v>
      </c>
      <c r="J545">
        <v>0.0001155</v>
      </c>
    </row>
    <row r="546" spans="1:10">
      <c r="A546">
        <f>HYPERLINK("https://mega.nz/file/SQEQyISb#ucBX3UKq7ufAOVGT4S1k7cB1rymaJmC4Glkc1BPOJFM", "The Book Of Lucifer")</f>
        <v>0</v>
      </c>
      <c r="B546" t="s">
        <v>44</v>
      </c>
      <c r="C546" t="s">
        <v>1019</v>
      </c>
      <c r="D546" t="s">
        <v>2325</v>
      </c>
      <c r="E546" t="s">
        <v>3127</v>
      </c>
      <c r="F546" t="s">
        <v>3131</v>
      </c>
      <c r="G546" s="2" t="s">
        <v>3676</v>
      </c>
      <c r="H546">
        <v>6.055E-05</v>
      </c>
      <c r="I546">
        <v>5.355E-05</v>
      </c>
      <c r="J546">
        <v>0.0001141</v>
      </c>
    </row>
    <row r="547" spans="1:10">
      <c r="A547">
        <f>HYPERLINK("https://mega.nz/file/LcNU0LYJ#lAE4Mxyy6L8a56f1tpceJtriGxWh0-citDGXkcbULHU", "The Dark Forces")</f>
        <v>0</v>
      </c>
      <c r="B547" t="s">
        <v>44</v>
      </c>
      <c r="C547" t="s">
        <v>1020</v>
      </c>
      <c r="D547" t="s">
        <v>2326</v>
      </c>
      <c r="E547" t="s">
        <v>3117</v>
      </c>
      <c r="F547" t="s">
        <v>3131</v>
      </c>
      <c r="G547" s="2" t="s">
        <v>3677</v>
      </c>
      <c r="H547">
        <v>5.775E-05</v>
      </c>
      <c r="I547">
        <v>5.25E-05</v>
      </c>
      <c r="J547">
        <v>0.00011025</v>
      </c>
    </row>
    <row r="548" spans="1:10">
      <c r="A548">
        <f>HYPERLINK("https://mega.nz/file/eIUXCZJL#SIndhhtufc4hfI0JQp-KSfk1B0JMJNVyb5f1rNkMp0A", "The Devil Hath Laughed")</f>
        <v>0</v>
      </c>
      <c r="B548" t="s">
        <v>44</v>
      </c>
      <c r="C548" t="s">
        <v>1021</v>
      </c>
      <c r="D548" t="s">
        <v>2327</v>
      </c>
      <c r="E548" t="s">
        <v>3117</v>
      </c>
      <c r="F548" t="s">
        <v>3131</v>
      </c>
      <c r="G548" s="2" t="s">
        <v>3678</v>
      </c>
      <c r="H548">
        <v>6.09E-05</v>
      </c>
      <c r="I548">
        <v>6.055E-05</v>
      </c>
      <c r="J548">
        <v>0.00012145</v>
      </c>
    </row>
    <row r="549" spans="1:10">
      <c r="A549">
        <f>HYPERLINK("https://mega.nz/file/qcMinYob#Gql-N0U0jFJ9ZX52qVE7Z4T8h4-LPxdL-ke617ejgRc", "The Diary Of A Drug Fiend")</f>
        <v>0</v>
      </c>
      <c r="B549" t="s">
        <v>44</v>
      </c>
      <c r="C549" t="s">
        <v>1022</v>
      </c>
      <c r="D549" t="s">
        <v>2328</v>
      </c>
      <c r="E549" t="s">
        <v>3117</v>
      </c>
      <c r="F549" t="s">
        <v>3131</v>
      </c>
      <c r="G549" s="2" t="s">
        <v>3679</v>
      </c>
      <c r="H549">
        <v>6.195E-05</v>
      </c>
      <c r="I549">
        <v>5.32E-05</v>
      </c>
      <c r="J549">
        <v>0.00011515</v>
      </c>
    </row>
    <row r="550" spans="1:10">
      <c r="A550">
        <f>HYPERLINK("https://mega.nz/file/GVFS3IpS#uKKMkRfZJMT1unHHpVRBcpd7FVhQLQcpE1T_WKSvfpg", "The Dissimilarity of Ancient Irish Magic from That of the Anglo-Saxons")</f>
        <v>0</v>
      </c>
      <c r="B550" t="s">
        <v>44</v>
      </c>
      <c r="C550" t="s">
        <v>1023</v>
      </c>
      <c r="D550" t="s">
        <v>2329</v>
      </c>
      <c r="E550" t="s">
        <v>3117</v>
      </c>
      <c r="F550" t="s">
        <v>3131</v>
      </c>
      <c r="G550" s="2" t="s">
        <v>3680</v>
      </c>
      <c r="H550">
        <v>7.14E-05</v>
      </c>
      <c r="I550">
        <v>5.915E-05</v>
      </c>
      <c r="J550">
        <v>0.00013055</v>
      </c>
    </row>
    <row r="551" spans="1:10">
      <c r="A551">
        <f>HYPERLINK("https://mega.nz/file/vAEW0DgA#h4WKbWBMgvBkyxtwbB7H1j3ZwZd7_Ue58AtxHH4vhBE", "The Doors of Perception")</f>
        <v>0</v>
      </c>
      <c r="B551" t="s">
        <v>44</v>
      </c>
      <c r="C551" t="s">
        <v>1024</v>
      </c>
      <c r="D551" t="s">
        <v>2330</v>
      </c>
      <c r="E551" t="s">
        <v>3117</v>
      </c>
      <c r="F551" t="s">
        <v>3131</v>
      </c>
      <c r="G551" s="2" t="s">
        <v>3681</v>
      </c>
      <c r="H551">
        <v>5.88E-05</v>
      </c>
      <c r="I551">
        <v>5.565E-05</v>
      </c>
      <c r="J551">
        <v>0.00011445</v>
      </c>
    </row>
    <row r="552" spans="1:10">
      <c r="A552">
        <f>HYPERLINK("https://mega.nz/file/vVcBWTbQ#NzUSloOvtt0sw7uHsQnrDSci4MphvcNruNp1ghugrzw", "The Egyptian Book of the Dead")</f>
        <v>0</v>
      </c>
      <c r="B552" t="s">
        <v>44</v>
      </c>
      <c r="C552" t="s">
        <v>1025</v>
      </c>
      <c r="D552" t="s">
        <v>2331</v>
      </c>
      <c r="E552" t="s">
        <v>3128</v>
      </c>
      <c r="F552" t="s">
        <v>3131</v>
      </c>
      <c r="G552" s="2" t="s">
        <v>3682</v>
      </c>
      <c r="H552">
        <v>6.09E-05</v>
      </c>
      <c r="I552">
        <v>5.145E-05</v>
      </c>
      <c r="J552">
        <v>0.00011235</v>
      </c>
    </row>
    <row r="553" spans="1:10">
      <c r="A553">
        <f>HYPERLINK("https://mega.nz/file/eYV3marZ#DpNwaN93RcQzArSqbIflCFUa4s9XM5Kz7M88O0FLDRQ", "The Egyptian Revival")</f>
        <v>0</v>
      </c>
      <c r="B553" t="s">
        <v>44</v>
      </c>
      <c r="C553" t="s">
        <v>1026</v>
      </c>
      <c r="D553" t="s">
        <v>2332</v>
      </c>
      <c r="E553" t="s">
        <v>3128</v>
      </c>
      <c r="F553" t="s">
        <v>3131</v>
      </c>
      <c r="G553" s="2" t="s">
        <v>3683</v>
      </c>
      <c r="H553">
        <v>5.775E-05</v>
      </c>
      <c r="I553">
        <v>5.39E-05</v>
      </c>
      <c r="J553">
        <v>0.00011165</v>
      </c>
    </row>
    <row r="554" spans="1:10">
      <c r="A554">
        <f>HYPERLINK("https://mega.nz/file/yIMWBARD#NAv3thvDMdmCPQCvr13nEqmxzzbBXuNgzSZhSxPOSmg", "The Equation of Subconscious Resistance")</f>
        <v>0</v>
      </c>
      <c r="B554" t="s">
        <v>44</v>
      </c>
      <c r="C554" t="s">
        <v>1027</v>
      </c>
      <c r="D554" t="s">
        <v>2333</v>
      </c>
      <c r="E554" t="s">
        <v>3117</v>
      </c>
      <c r="F554" t="s">
        <v>3131</v>
      </c>
      <c r="G554" s="2" t="s">
        <v>3684</v>
      </c>
      <c r="H554">
        <v>6.09E-05</v>
      </c>
      <c r="I554">
        <v>5.565E-05</v>
      </c>
      <c r="J554">
        <v>0.00011655</v>
      </c>
    </row>
    <row r="555" spans="1:10">
      <c r="A555">
        <f>HYPERLINK("https://mega.nz/file/jdMhjLyB#Zo62xFRNMKUMMmqVcvSBE2DixRlof5S3--5CYCk2XNM", "The Eqyptian Book of the Dead")</f>
        <v>0</v>
      </c>
      <c r="B555" t="s">
        <v>44</v>
      </c>
      <c r="C555" t="s">
        <v>1028</v>
      </c>
      <c r="D555" t="s">
        <v>2334</v>
      </c>
      <c r="E555" t="s">
        <v>3117</v>
      </c>
      <c r="F555" t="s">
        <v>3131</v>
      </c>
      <c r="G555" s="2" t="s">
        <v>3685</v>
      </c>
      <c r="H555">
        <v>6.405E-05</v>
      </c>
      <c r="I555">
        <v>5.53E-05</v>
      </c>
      <c r="J555">
        <v>0.00011935</v>
      </c>
    </row>
    <row r="556" spans="1:10">
      <c r="A556">
        <f>HYPERLINK("https://mega.nz/file/GZ8FmKbZ#B4cHkq8ARbJAmMkPU-tS5Hvy63bWS8Ct4m4K6SipXXQ", "The God Set")</f>
        <v>0</v>
      </c>
      <c r="B556" t="s">
        <v>44</v>
      </c>
      <c r="C556" t="s">
        <v>1029</v>
      </c>
      <c r="D556" t="s">
        <v>2335</v>
      </c>
      <c r="E556" t="s">
        <v>3117</v>
      </c>
      <c r="F556" t="s">
        <v>3131</v>
      </c>
      <c r="G556" s="2" t="s">
        <v>3686</v>
      </c>
      <c r="H556">
        <v>5.775E-05</v>
      </c>
      <c r="I556">
        <v>4.62E-05</v>
      </c>
      <c r="J556">
        <v>0.00010395</v>
      </c>
    </row>
    <row r="557" spans="1:10">
      <c r="A557">
        <f>HYPERLINK("https://mega.nz/file/fZ0RyK4I#kq1QJPEU6FVrmlnCFIG3MlB-u1ZLxFcfntEnO6D5ldo", "The Golden Essence")</f>
        <v>0</v>
      </c>
      <c r="B557" t="s">
        <v>44</v>
      </c>
      <c r="C557" t="s">
        <v>1030</v>
      </c>
      <c r="D557" t="s">
        <v>2336</v>
      </c>
      <c r="E557" t="s">
        <v>3117</v>
      </c>
      <c r="F557" t="s">
        <v>3131</v>
      </c>
      <c r="G557" s="2" t="s">
        <v>3687</v>
      </c>
      <c r="H557">
        <v>5.775E-05</v>
      </c>
      <c r="I557">
        <v>4.48E-05</v>
      </c>
      <c r="J557">
        <v>0.00010255</v>
      </c>
    </row>
    <row r="558" spans="1:10">
      <c r="A558">
        <f>HYPERLINK("https://mega.nz/file/mZszwSKA#itPfernavrc9l0Y02dAxqUV7km0kwMQ49y2a3ue3ymk", "The Great Fuss and Fume Over the Omnipoten Oom")</f>
        <v>0</v>
      </c>
      <c r="B558" t="s">
        <v>44</v>
      </c>
      <c r="C558" t="s">
        <v>1031</v>
      </c>
      <c r="D558" t="s">
        <v>2337</v>
      </c>
      <c r="E558" t="s">
        <v>3117</v>
      </c>
      <c r="F558" t="s">
        <v>3131</v>
      </c>
      <c r="G558" s="2" t="s">
        <v>3688</v>
      </c>
      <c r="H558">
        <v>6.825000000000001E-05</v>
      </c>
      <c r="I558">
        <v>5.04E-05</v>
      </c>
      <c r="J558">
        <v>0.00011865</v>
      </c>
    </row>
    <row r="559" spans="1:10">
      <c r="A559">
        <f>HYPERLINK("https://mega.nz/file/2IU3XZTD#NxCikysQwyIUkOaZLNVOiqxazPkWEjVuvR4M6K0Wr-E", "The Greater Key of Solomon")</f>
        <v>0</v>
      </c>
      <c r="B559" t="s">
        <v>44</v>
      </c>
      <c r="C559" t="s">
        <v>1032</v>
      </c>
      <c r="D559" t="s">
        <v>2338</v>
      </c>
      <c r="E559" t="s">
        <v>3117</v>
      </c>
      <c r="F559" t="s">
        <v>3131</v>
      </c>
      <c r="G559" s="2" t="s">
        <v>3689</v>
      </c>
      <c r="H559">
        <v>6.055E-05</v>
      </c>
      <c r="I559">
        <v>5.74E-05</v>
      </c>
      <c r="J559">
        <v>0.00011795</v>
      </c>
    </row>
    <row r="560" spans="1:10">
      <c r="A560">
        <f>HYPERLINK("https://mega.nz/file/GZlTGawZ#RoDag5UmxOuQYinOylohgfDHwkPX_zZbhq_bnjxrfI0", "The Greater Key of Solomon")</f>
        <v>0</v>
      </c>
      <c r="B560" t="s">
        <v>44</v>
      </c>
      <c r="C560" t="s">
        <v>1032</v>
      </c>
      <c r="D560" t="s">
        <v>2339</v>
      </c>
      <c r="E560" t="s">
        <v>3117</v>
      </c>
      <c r="F560" t="s">
        <v>3131</v>
      </c>
      <c r="G560" s="2" t="s">
        <v>3690</v>
      </c>
      <c r="H560">
        <v>6.055E-05</v>
      </c>
      <c r="I560">
        <v>4.97E-05</v>
      </c>
      <c r="J560">
        <v>0.00011025</v>
      </c>
    </row>
    <row r="561" spans="1:10">
      <c r="A561">
        <f>HYPERLINK("https://mega.nz/file/nB9RBTJB#172n0_0sjhsuxFohMl1IrRzOMP4aiOynjMKj2YbQ5iU", "The Hidden History of Money")</f>
        <v>0</v>
      </c>
      <c r="B561" t="s">
        <v>44</v>
      </c>
      <c r="C561" t="s">
        <v>1033</v>
      </c>
      <c r="D561" t="s">
        <v>2340</v>
      </c>
      <c r="E561" t="s">
        <v>3117</v>
      </c>
      <c r="F561" t="s">
        <v>3131</v>
      </c>
      <c r="G561" s="2" t="s">
        <v>3691</v>
      </c>
      <c r="H561">
        <v>6.125E-05</v>
      </c>
      <c r="I561">
        <v>5.46E-05</v>
      </c>
      <c r="J561">
        <v>0.00011585</v>
      </c>
    </row>
    <row r="562" spans="1:10">
      <c r="A562">
        <f>HYPERLINK("https://mega.nz/file/qYcXTBIZ#Td8T69sCcQu8QWvgVsgd8VGwxV13gODiTRZPWq3RCxM", "The History of Magic Including a Clear and Precise Exposition of Its Procedure Its Rites and Its")</f>
        <v>0</v>
      </c>
      <c r="B562" t="s">
        <v>44</v>
      </c>
      <c r="C562" t="s">
        <v>1034</v>
      </c>
      <c r="D562" t="s">
        <v>2341</v>
      </c>
      <c r="E562" t="s">
        <v>3117</v>
      </c>
      <c r="F562" t="s">
        <v>3131</v>
      </c>
      <c r="G562" s="2" t="s">
        <v>3692</v>
      </c>
      <c r="H562">
        <v>7.735E-05</v>
      </c>
      <c r="I562">
        <v>5.495E-05</v>
      </c>
      <c r="J562">
        <v>0.0001323</v>
      </c>
    </row>
    <row r="563" spans="1:10">
      <c r="A563">
        <f>HYPERLINK("https://mega.nz/file/uRNgHZ4D#KVKKYeZmeVFoGLej3iD4r_wmvF7lY4YrWBn-rdbqcdQ", "The History of the Emerald Tablet of Hermes")</f>
        <v>0</v>
      </c>
      <c r="B563" t="s">
        <v>44</v>
      </c>
      <c r="C563" t="s">
        <v>1035</v>
      </c>
      <c r="D563" t="s">
        <v>2342</v>
      </c>
      <c r="E563" t="s">
        <v>3126</v>
      </c>
      <c r="F563" t="s">
        <v>3131</v>
      </c>
      <c r="G563" s="2" t="s">
        <v>3693</v>
      </c>
      <c r="H563">
        <v>6.3E-05</v>
      </c>
      <c r="I563">
        <v>5.565E-05</v>
      </c>
      <c r="J563">
        <v>0.00011865</v>
      </c>
    </row>
    <row r="564" spans="1:10">
      <c r="A564">
        <f>HYPERLINK("https://mega.nz/file/WYFwUbQJ#NXbttD3E0YSZsmHABZJ0vr8UTNViggSZRB9cunpLWAc", "The Incredible Rockefellers")</f>
        <v>0</v>
      </c>
      <c r="B564" t="s">
        <v>44</v>
      </c>
      <c r="C564" t="s">
        <v>1036</v>
      </c>
      <c r="D564" t="s">
        <v>2343</v>
      </c>
      <c r="E564" t="s">
        <v>3117</v>
      </c>
      <c r="F564" t="s">
        <v>3131</v>
      </c>
      <c r="G564" s="2" t="s">
        <v>3694</v>
      </c>
      <c r="H564">
        <v>6.160000000000001E-05</v>
      </c>
      <c r="I564">
        <v>5.04E-05</v>
      </c>
      <c r="J564">
        <v>0.000112</v>
      </c>
    </row>
    <row r="565" spans="1:10">
      <c r="A565">
        <f>HYPERLINK("https://mega.nz/file/zBcQUTpD#_Gi4Mn4WMWXsYRlnyLCn6LAj0ga4KnYC4G7FK5T-tow", "The Internet Book of Shadows")</f>
        <v>0</v>
      </c>
      <c r="B565" t="s">
        <v>44</v>
      </c>
      <c r="C565" t="s">
        <v>1037</v>
      </c>
      <c r="D565" t="s">
        <v>2344</v>
      </c>
      <c r="E565" t="s">
        <v>3117</v>
      </c>
      <c r="F565" t="s">
        <v>3131</v>
      </c>
      <c r="G565" s="2" t="s">
        <v>3695</v>
      </c>
      <c r="H565">
        <v>6.125E-05</v>
      </c>
      <c r="I565">
        <v>5.67E-05</v>
      </c>
      <c r="J565">
        <v>0.00011795</v>
      </c>
    </row>
    <row r="566" spans="1:10">
      <c r="A566">
        <f>HYPERLINK("https://mega.nz/file/qQ1mhCAa#xvLr8NXXTOr4lMzGByu3tvPaMjCBk1CKPO9gIQA82oc", "The Jewish Utopia (Authentic Zionist Mein Kampf)")</f>
        <v>0</v>
      </c>
      <c r="B566" t="s">
        <v>44</v>
      </c>
      <c r="C566" t="s">
        <v>1038</v>
      </c>
      <c r="D566" t="s">
        <v>2345</v>
      </c>
      <c r="E566" t="s">
        <v>3117</v>
      </c>
      <c r="F566" t="s">
        <v>3131</v>
      </c>
      <c r="G566" s="2" t="s">
        <v>3696</v>
      </c>
      <c r="H566">
        <v>6.615E-05</v>
      </c>
      <c r="I566">
        <v>6.23E-05</v>
      </c>
      <c r="J566">
        <v>0.00012845</v>
      </c>
    </row>
    <row r="567" spans="1:10">
      <c r="A567">
        <f>HYPERLINK("https://mega.nz/file/eJNzyShS#deYwFv3AnP7d2msNTrDBt_Q09ODOdyJaCaobZfgyO14", "The Kabbalah, the Philosophie Cosmique, and the Integral Yoga. A Study in Cross-Cultural Influence")</f>
        <v>0</v>
      </c>
      <c r="B567" t="s">
        <v>44</v>
      </c>
      <c r="C567" t="s">
        <v>1039</v>
      </c>
      <c r="D567" t="s">
        <v>2346</v>
      </c>
      <c r="E567" t="s">
        <v>3118</v>
      </c>
      <c r="F567" t="s">
        <v>3131</v>
      </c>
      <c r="G567" s="2" t="s">
        <v>3697</v>
      </c>
      <c r="H567">
        <v>7.77E-05</v>
      </c>
      <c r="I567">
        <v>6.055E-05</v>
      </c>
      <c r="J567">
        <v>0.00013825</v>
      </c>
    </row>
    <row r="568" spans="1:10">
      <c r="A568">
        <f>HYPERLINK("https://mega.nz/file/zAlyzajT#cT4diiDriEjk22JPSmVCkh0WvJdcB4Zot5KX78jHb6M", "The Lamion Contiuum")</f>
        <v>0</v>
      </c>
      <c r="B568" t="s">
        <v>44</v>
      </c>
      <c r="C568" t="s">
        <v>1040</v>
      </c>
      <c r="D568" t="s">
        <v>2347</v>
      </c>
      <c r="E568" t="s">
        <v>3117</v>
      </c>
      <c r="F568" t="s">
        <v>3131</v>
      </c>
      <c r="G568" s="2" t="s">
        <v>3698</v>
      </c>
      <c r="H568">
        <v>6.09E-05</v>
      </c>
      <c r="I568">
        <v>4.935E-05</v>
      </c>
      <c r="J568">
        <v>0.00011025</v>
      </c>
    </row>
    <row r="569" spans="1:10">
      <c r="A569">
        <f>HYPERLINK("https://mega.nz/file/qIsEmSrQ#VHJFeBH9Kp7KBfC14yoQiGHlw-2xA3L56h_bMkBuI7Q", "The Life Power")</f>
        <v>0</v>
      </c>
      <c r="B569" t="s">
        <v>44</v>
      </c>
      <c r="C569" t="s">
        <v>1041</v>
      </c>
      <c r="D569" t="s">
        <v>2348</v>
      </c>
      <c r="E569" t="s">
        <v>3117</v>
      </c>
      <c r="F569" t="s">
        <v>3131</v>
      </c>
      <c r="G569" s="2" t="s">
        <v>3699</v>
      </c>
      <c r="H569">
        <v>5.775E-05</v>
      </c>
      <c r="I569">
        <v>5.04E-05</v>
      </c>
      <c r="J569">
        <v>0.00010815</v>
      </c>
    </row>
    <row r="570" spans="1:10">
      <c r="A570">
        <f>HYPERLINK("https://mega.nz/file/vFtFFIrb#s42aKXc-dQEaVXtOajUz_cNU3TRX9dk82NiO8f7nrY0", "The Magic Mushroom Growers Guide")</f>
        <v>0</v>
      </c>
      <c r="B570" t="s">
        <v>44</v>
      </c>
      <c r="C570" t="s">
        <v>1042</v>
      </c>
      <c r="D570" t="s">
        <v>2349</v>
      </c>
      <c r="E570" t="s">
        <v>3117</v>
      </c>
      <c r="F570" t="s">
        <v>3131</v>
      </c>
      <c r="G570" s="2" t="s">
        <v>3700</v>
      </c>
      <c r="H570">
        <v>5.985E-05</v>
      </c>
      <c r="I570">
        <v>5.18E-05</v>
      </c>
      <c r="J570">
        <v>0.00011165</v>
      </c>
    </row>
    <row r="571" spans="1:10">
      <c r="A571">
        <f>HYPERLINK("https://mega.nz/file/KA0VjBQC#7e3CW-SOPPQLKqn77h8Sd7Ki3--OUhEcwTR0Hr9Q-1M", "The Mystery Revealed")</f>
        <v>0</v>
      </c>
      <c r="B571" t="s">
        <v>44</v>
      </c>
      <c r="C571" t="s">
        <v>1043</v>
      </c>
      <c r="D571" t="s">
        <v>2350</v>
      </c>
      <c r="E571" t="s">
        <v>3117</v>
      </c>
      <c r="F571" t="s">
        <v>3131</v>
      </c>
      <c r="G571" s="2" t="s">
        <v>3701</v>
      </c>
      <c r="H571">
        <v>5.985E-05</v>
      </c>
      <c r="I571">
        <v>4.83E-05</v>
      </c>
      <c r="J571">
        <v>0.00010815</v>
      </c>
    </row>
    <row r="572" spans="1:10">
      <c r="A572">
        <f>HYPERLINK("https://mega.nz/file/OUlCTIxK#yRCSPzN1gTtFQDJNX0brhpyEbJIprzgCZK7U-OT7L7E", "The Nature of Magic")</f>
        <v>0</v>
      </c>
      <c r="B572" t="s">
        <v>44</v>
      </c>
      <c r="C572" t="s">
        <v>1044</v>
      </c>
      <c r="D572" t="s">
        <v>2351</v>
      </c>
      <c r="E572" t="s">
        <v>3117</v>
      </c>
      <c r="F572" t="s">
        <v>3131</v>
      </c>
      <c r="G572" s="2" t="s">
        <v>3702</v>
      </c>
      <c r="H572">
        <v>5.88E-05</v>
      </c>
      <c r="I572">
        <v>5.285E-05</v>
      </c>
      <c r="J572">
        <v>0.00011165</v>
      </c>
    </row>
    <row r="573" spans="1:10">
      <c r="A573">
        <f>HYPERLINK("https://mega.nz/file/vcUBWIxb#xfOKunjc2t0306V9PvZiG9sVeqNniYkBMT7P9swX-_M", "The Oera Linda Book: From a Manuscript of the Thirteenth Century")</f>
        <v>0</v>
      </c>
      <c r="B573" t="s">
        <v>44</v>
      </c>
      <c r="C573" t="s">
        <v>1045</v>
      </c>
      <c r="D573" t="s">
        <v>2352</v>
      </c>
      <c r="E573" t="s">
        <v>3117</v>
      </c>
      <c r="F573" t="s">
        <v>3131</v>
      </c>
      <c r="G573" s="2" t="s">
        <v>3703</v>
      </c>
      <c r="H573">
        <v>7.49E-05</v>
      </c>
      <c r="I573">
        <v>5.985E-05</v>
      </c>
      <c r="J573">
        <v>0.00013475</v>
      </c>
    </row>
    <row r="574" spans="1:10">
      <c r="A574">
        <f>HYPERLINK("https://mega.nz/file/PQ93UJqA#n-yvPysJ3NhFPrQpDPC4ofLI-vVpnV9ABt_TAOAZ1UA", "The Omnipotent Oom")</f>
        <v>0</v>
      </c>
      <c r="B574" t="s">
        <v>44</v>
      </c>
      <c r="C574" t="s">
        <v>1046</v>
      </c>
      <c r="D574" t="s">
        <v>2353</v>
      </c>
      <c r="E574" t="s">
        <v>3117</v>
      </c>
      <c r="F574" t="s">
        <v>3131</v>
      </c>
      <c r="G574" s="2" t="s">
        <v>3704</v>
      </c>
      <c r="H574">
        <v>5.985E-05</v>
      </c>
      <c r="I574">
        <v>4.62E-05</v>
      </c>
      <c r="J574">
        <v>0.00010605</v>
      </c>
    </row>
    <row r="575" spans="1:10">
      <c r="A575">
        <f>HYPERLINK("https://mega.nz/file/DU1hSBDL#avuNKA-uW1L172jtbPHVcRbp5OF2o9yIYvVy47K7YSU", "The Ouranos Rite")</f>
        <v>0</v>
      </c>
      <c r="B575" t="s">
        <v>44</v>
      </c>
      <c r="C575" t="s">
        <v>1047</v>
      </c>
      <c r="D575" t="s">
        <v>2354</v>
      </c>
      <c r="E575" t="s">
        <v>3117</v>
      </c>
      <c r="F575" t="s">
        <v>3131</v>
      </c>
      <c r="G575" s="2" t="s">
        <v>3705</v>
      </c>
      <c r="H575">
        <v>5.88E-05</v>
      </c>
      <c r="I575">
        <v>4.865E-05</v>
      </c>
      <c r="J575">
        <v>0.00010745</v>
      </c>
    </row>
    <row r="576" spans="1:10">
      <c r="A576">
        <f>HYPERLINK("https://mega.nz/file/KElmQbzJ#DafDGcsyVNvL7-Uo-mjgtpI2TCzkuXAutTjhXfLGVC4", "The Pagan Book of Words - Prayers, Chants, and Rhymes")</f>
        <v>0</v>
      </c>
      <c r="B576" t="s">
        <v>44</v>
      </c>
      <c r="C576" t="s">
        <v>1048</v>
      </c>
      <c r="D576" t="s">
        <v>2355</v>
      </c>
      <c r="E576" t="s">
        <v>3117</v>
      </c>
      <c r="F576" t="s">
        <v>3131</v>
      </c>
      <c r="G576" s="2" t="s">
        <v>3706</v>
      </c>
      <c r="H576">
        <v>6.93E-05</v>
      </c>
      <c r="I576">
        <v>5.285E-05</v>
      </c>
      <c r="J576">
        <v>0.00012215</v>
      </c>
    </row>
    <row r="577" spans="1:10">
      <c r="A577">
        <f>HYPERLINK("https://mega.nz/file/XYsmlSrI#aXldf45s5jxFODXQOTkoNNjvEm94RgVt4O3FKna1l3I", "The PATH")</f>
        <v>0</v>
      </c>
      <c r="B577" t="s">
        <v>44</v>
      </c>
      <c r="C577" t="s">
        <v>1049</v>
      </c>
      <c r="D577" t="s">
        <v>2356</v>
      </c>
      <c r="E577" t="s">
        <v>3117</v>
      </c>
      <c r="F577" t="s">
        <v>3131</v>
      </c>
      <c r="G577" s="2" t="s">
        <v>3707</v>
      </c>
      <c r="H577">
        <v>5.67E-05</v>
      </c>
      <c r="I577">
        <v>4.585E-05</v>
      </c>
      <c r="J577">
        <v>0.00010255</v>
      </c>
    </row>
    <row r="578" spans="1:10">
      <c r="A578">
        <f>HYPERLINK("https://mega.nz/file/nQdSkRZA#mgx4RcsZ3N0QfEmkb67Ub1LArOexiaF1u0Oh2yN4u3E", "The Philosophers Stone")</f>
        <v>0</v>
      </c>
      <c r="B578" t="s">
        <v>44</v>
      </c>
      <c r="C578" t="s">
        <v>1050</v>
      </c>
      <c r="D578" t="s">
        <v>2357</v>
      </c>
      <c r="E578" t="s">
        <v>3117</v>
      </c>
      <c r="F578" t="s">
        <v>3131</v>
      </c>
      <c r="G578" s="2" t="s">
        <v>3708</v>
      </c>
      <c r="H578">
        <v>5.88E-05</v>
      </c>
      <c r="I578">
        <v>5.215E-05</v>
      </c>
      <c r="J578">
        <v>0.00011095</v>
      </c>
    </row>
    <row r="579" spans="1:10">
      <c r="A579">
        <f>HYPERLINK("https://mega.nz/file/zV02mCLT#I1odtTZUxVqW2MwrcF0SO1LmBA75CLnAwn3YIC_EbkI", "THE PLACE OF KABBALAH IN THE DOCTRINE OF RUSSIAN FREEMASONS")</f>
        <v>0</v>
      </c>
      <c r="B579" t="s">
        <v>44</v>
      </c>
      <c r="C579" t="s">
        <v>1051</v>
      </c>
      <c r="D579" t="s">
        <v>2358</v>
      </c>
      <c r="E579" t="s">
        <v>3118</v>
      </c>
      <c r="F579" t="s">
        <v>3131</v>
      </c>
      <c r="G579" s="2" t="s">
        <v>3709</v>
      </c>
      <c r="H579">
        <v>7.455E-05</v>
      </c>
      <c r="I579">
        <v>5.95E-05</v>
      </c>
      <c r="J579">
        <v>0.00013405</v>
      </c>
    </row>
    <row r="580" spans="1:10">
      <c r="A580">
        <f>HYPERLINK("https://mega.nz/file/7YUABIIA#ioWa0p5d27QgvhlxRj6zI9BwvP3D8By0bNF6c1UfSw0", "THE PLEIADES AS OPENINGS, THE MILKY WAY AS THE PATH OF BIRDS, AND THE GIRL ON THE MOON CULTURAL LINKS ACROSS NORTHERN EURASIA")</f>
        <v>0</v>
      </c>
      <c r="B580" t="s">
        <v>44</v>
      </c>
      <c r="C580" t="s">
        <v>1052</v>
      </c>
      <c r="D580" t="s">
        <v>2359</v>
      </c>
      <c r="E580" t="s">
        <v>3117</v>
      </c>
      <c r="F580" t="s">
        <v>3131</v>
      </c>
      <c r="G580" s="2" t="s">
        <v>3710</v>
      </c>
      <c r="H580">
        <v>9.275E-05</v>
      </c>
      <c r="I580">
        <v>6.65E-05</v>
      </c>
      <c r="J580">
        <v>0.00015925</v>
      </c>
    </row>
    <row r="581" spans="1:10">
      <c r="A581">
        <f>HYPERLINK("https://mega.nz/file/KFcywK4b#behSs7yj59UjfUt2gGEoiRiI4NZ4tWMw-5F9KE-rb6s", "The Problem With Magick Books")</f>
        <v>0</v>
      </c>
      <c r="B581" t="s">
        <v>44</v>
      </c>
      <c r="C581" t="s">
        <v>1053</v>
      </c>
      <c r="D581" t="s">
        <v>2360</v>
      </c>
      <c r="E581" t="s">
        <v>3117</v>
      </c>
      <c r="F581" t="s">
        <v>3131</v>
      </c>
      <c r="G581" s="2" t="s">
        <v>3711</v>
      </c>
      <c r="H581">
        <v>6.09E-05</v>
      </c>
      <c r="I581">
        <v>5.635E-05</v>
      </c>
      <c r="J581">
        <v>0.00011725</v>
      </c>
    </row>
    <row r="582" spans="1:10">
      <c r="A582">
        <f>HYPERLINK("https://mega.nz/file/zUcFgRaA#63kZbR2NVqfl4J0l_tqLvnd2KOorhEJAH2ubgykWxKQ", "The Psychedelic Experience")</f>
        <v>0</v>
      </c>
      <c r="B582" t="s">
        <v>44</v>
      </c>
      <c r="C582" t="s">
        <v>1054</v>
      </c>
      <c r="D582" t="s">
        <v>2361</v>
      </c>
      <c r="E582" t="s">
        <v>3117</v>
      </c>
      <c r="F582" t="s">
        <v>3131</v>
      </c>
      <c r="G582" s="2" t="s">
        <v>3712</v>
      </c>
      <c r="H582">
        <v>5.88E-05</v>
      </c>
      <c r="I582">
        <v>5.215E-05</v>
      </c>
      <c r="J582">
        <v>0.00011095</v>
      </c>
    </row>
    <row r="583" spans="1:10">
      <c r="A583">
        <f>HYPERLINK("https://mega.nz/file/aV8wTCDa#lSiNXFtHlu5h9hYsAz3kUnMi9ceKVWLAMA84gVvWKPE", "The Rosicrucian Manifesto")</f>
        <v>0</v>
      </c>
      <c r="B583" t="s">
        <v>44</v>
      </c>
      <c r="C583" t="s">
        <v>1055</v>
      </c>
      <c r="D583" t="s">
        <v>2362</v>
      </c>
      <c r="E583" t="s">
        <v>3129</v>
      </c>
      <c r="F583" t="s">
        <v>3131</v>
      </c>
      <c r="G583" s="2" t="s">
        <v>3713</v>
      </c>
      <c r="H583">
        <v>6.09E-05</v>
      </c>
      <c r="I583">
        <v>6.125E-05</v>
      </c>
      <c r="J583">
        <v>0.00012215</v>
      </c>
    </row>
    <row r="584" spans="1:10">
      <c r="A584">
        <f>HYPERLINK("https://mega.nz/file/mUMVVYga#IQK66cZlyx2HlVhR4iQqUHKF7mWl4365wWN5AimiYpI", "The science of magic- A parapsychological model of psychic ability in the context of magical will")</f>
        <v>0</v>
      </c>
      <c r="B584" t="s">
        <v>44</v>
      </c>
      <c r="C584" t="s">
        <v>1056</v>
      </c>
      <c r="D584" t="s">
        <v>2363</v>
      </c>
      <c r="E584" t="s">
        <v>3117</v>
      </c>
      <c r="F584" t="s">
        <v>3131</v>
      </c>
      <c r="G584" s="2" t="s">
        <v>3714</v>
      </c>
      <c r="H584">
        <v>7.559999999999999E-05</v>
      </c>
      <c r="I584">
        <v>5.775E-05</v>
      </c>
      <c r="J584">
        <v>0.00013335</v>
      </c>
    </row>
    <row r="585" spans="1:10">
      <c r="A585">
        <f>HYPERLINK("https://mega.nz/file/fNF0RI6a#9QyoMZObSgwILhw442sPjl29toDdJjHDw_d4XHJ35VY", "The Secret Grimoire Of Turiel")</f>
        <v>0</v>
      </c>
      <c r="B585" t="s">
        <v>44</v>
      </c>
      <c r="C585" t="s">
        <v>1057</v>
      </c>
      <c r="D585" t="s">
        <v>2364</v>
      </c>
      <c r="E585" t="s">
        <v>3117</v>
      </c>
      <c r="F585" t="s">
        <v>3131</v>
      </c>
      <c r="G585" s="2" t="s">
        <v>3715</v>
      </c>
      <c r="H585">
        <v>6.3E-05</v>
      </c>
      <c r="I585">
        <v>5.285E-05</v>
      </c>
      <c r="J585">
        <v>0.00011585</v>
      </c>
    </row>
    <row r="586" spans="1:10">
      <c r="A586">
        <f>HYPERLINK("https://mega.nz/file/Wc8VHAoR#eWSmJQI4pejRuG5nRBci96PT41NzN1DMBZAsLb43Cxg", "THE SIGILS BOOK")</f>
        <v>0</v>
      </c>
      <c r="B586" t="s">
        <v>44</v>
      </c>
      <c r="C586" t="s">
        <v>1058</v>
      </c>
      <c r="D586" t="s">
        <v>2365</v>
      </c>
      <c r="E586" t="s">
        <v>3117</v>
      </c>
      <c r="F586" t="s">
        <v>3131</v>
      </c>
      <c r="G586" s="2" t="s">
        <v>3716</v>
      </c>
      <c r="H586">
        <v>5.88E-05</v>
      </c>
      <c r="I586">
        <v>5.215E-05</v>
      </c>
      <c r="J586">
        <v>0.00011095</v>
      </c>
    </row>
    <row r="587" spans="1:10">
      <c r="A587">
        <f>HYPERLINK("https://mega.nz/file/LAkVWTAJ#wEdW2EBtkK1yaK7dMX4nYUuLHls-JIir0xBTd_Pz-UY", "The Strange Case of Ben Kadosh")</f>
        <v>0</v>
      </c>
      <c r="B587" t="s">
        <v>44</v>
      </c>
      <c r="C587" t="s">
        <v>1059</v>
      </c>
      <c r="D587" t="s">
        <v>2366</v>
      </c>
      <c r="E587" t="s">
        <v>3117</v>
      </c>
      <c r="F587" t="s">
        <v>3131</v>
      </c>
      <c r="G587" s="2" t="s">
        <v>3717</v>
      </c>
      <c r="H587">
        <v>6.86E-05</v>
      </c>
      <c r="I587">
        <v>4.865E-05</v>
      </c>
      <c r="J587">
        <v>0.00011725</v>
      </c>
    </row>
    <row r="588" spans="1:10">
      <c r="A588">
        <f>HYPERLINK("https://mega.nz/file/rZsUCYYC#NjOXG_E2mhi8HnsCTD5uufrWZbeH234dFH3sRS_9XOE", "The Sword of Song")</f>
        <v>0</v>
      </c>
      <c r="B588" t="s">
        <v>44</v>
      </c>
      <c r="C588" t="s">
        <v>1060</v>
      </c>
      <c r="D588" t="s">
        <v>2367</v>
      </c>
      <c r="E588" t="s">
        <v>3117</v>
      </c>
      <c r="F588" t="s">
        <v>3131</v>
      </c>
      <c r="G588" s="2" t="s">
        <v>3718</v>
      </c>
      <c r="H588">
        <v>5.88E-05</v>
      </c>
      <c r="I588">
        <v>5.005E-05</v>
      </c>
      <c r="J588">
        <v>0.00010885</v>
      </c>
    </row>
    <row r="589" spans="1:10">
      <c r="A589">
        <f>HYPERLINK("https://mega.nz/file/3JdRCSDZ#Ad4Z0bb6VzHkYfq64bgM6CWOP_4Z_AvOgup6eFS5Xuk", "The Tao of Physics")</f>
        <v>0</v>
      </c>
      <c r="B589" t="s">
        <v>44</v>
      </c>
      <c r="C589" t="s">
        <v>1061</v>
      </c>
      <c r="D589" t="s">
        <v>2368</v>
      </c>
      <c r="E589" t="s">
        <v>3117</v>
      </c>
      <c r="F589" t="s">
        <v>3131</v>
      </c>
      <c r="G589" s="2" t="s">
        <v>3719</v>
      </c>
      <c r="H589">
        <v>5.88E-05</v>
      </c>
      <c r="I589">
        <v>5.285E-05</v>
      </c>
      <c r="J589">
        <v>0.00011165</v>
      </c>
    </row>
    <row r="590" spans="1:10">
      <c r="A590">
        <f>HYPERLINK("https://mega.nz/file/7Rk2kA4T#efjsqWTwHex7fDYpvz9lwKCFa2W9t-jIqvZW16GcfoA", "The Tarot")</f>
        <v>0</v>
      </c>
      <c r="B590" t="s">
        <v>44</v>
      </c>
      <c r="C590" t="s">
        <v>1062</v>
      </c>
      <c r="D590" t="s">
        <v>2369</v>
      </c>
      <c r="E590" t="s">
        <v>1188</v>
      </c>
      <c r="F590" t="s">
        <v>3131</v>
      </c>
      <c r="G590" s="2" t="s">
        <v>3720</v>
      </c>
      <c r="H590">
        <v>5.67E-05</v>
      </c>
      <c r="I590">
        <v>5.075E-05</v>
      </c>
      <c r="J590">
        <v>0.00010745</v>
      </c>
    </row>
    <row r="591" spans="1:10">
      <c r="A591">
        <f>HYPERLINK("https://mega.nz/file/zJtDyIxA#gp2zfnw1Ep9VrdPK4RnEmeimJSgSwxmSCK2Nfzfb0QQ", "Thoughts on Seth")</f>
        <v>0</v>
      </c>
      <c r="B591" t="s">
        <v>44</v>
      </c>
      <c r="C591" t="s">
        <v>1063</v>
      </c>
      <c r="D591" t="s">
        <v>2370</v>
      </c>
      <c r="E591" t="s">
        <v>3117</v>
      </c>
      <c r="F591" t="s">
        <v>3131</v>
      </c>
      <c r="G591" s="2" t="s">
        <v>3721</v>
      </c>
      <c r="H591">
        <v>5.775E-05</v>
      </c>
      <c r="I591">
        <v>5.11E-05</v>
      </c>
      <c r="J591">
        <v>0.00010885</v>
      </c>
    </row>
    <row r="592" spans="1:10">
      <c r="A592">
        <f>HYPERLINK("https://mega.nz/file/jJNFnBIL#_N-DQVn_GTAyhH-vV2HN7a60hyDydnRW6RU1GonDhmE", "Three Green Books - Druidism")</f>
        <v>0</v>
      </c>
      <c r="B592" t="s">
        <v>44</v>
      </c>
      <c r="C592" t="s">
        <v>1064</v>
      </c>
      <c r="D592" t="s">
        <v>2371</v>
      </c>
      <c r="E592" t="s">
        <v>3117</v>
      </c>
      <c r="F592" t="s">
        <v>3131</v>
      </c>
      <c r="G592" s="2" t="s">
        <v>3722</v>
      </c>
      <c r="H592">
        <v>6.195E-05</v>
      </c>
      <c r="I592">
        <v>4.62E-05</v>
      </c>
      <c r="J592">
        <v>0.00010815</v>
      </c>
    </row>
    <row r="593" spans="1:10">
      <c r="A593">
        <f>HYPERLINK("https://mega.nz/file/eJc0iZLB#_Ar-vVB_fCHG9KmrCxjeKAmR12g8E9q0dR57AbHW7_Q", "Thus Spake Zarathustra")</f>
        <v>0</v>
      </c>
      <c r="B593" t="s">
        <v>44</v>
      </c>
      <c r="C593" t="s">
        <v>1065</v>
      </c>
      <c r="D593" t="s">
        <v>2372</v>
      </c>
      <c r="E593" t="s">
        <v>3117</v>
      </c>
      <c r="F593" t="s">
        <v>3131</v>
      </c>
      <c r="G593" s="2" t="s">
        <v>3723</v>
      </c>
      <c r="H593">
        <v>6.195E-05</v>
      </c>
      <c r="I593">
        <v>5.18E-05</v>
      </c>
      <c r="J593">
        <v>0.00011375</v>
      </c>
    </row>
    <row r="594" spans="1:10">
      <c r="A594">
        <f>HYPERLINK("https://mega.nz/file/rQ8UnIhD#W8oSSkHUgPjzo7w1a4hctSUoGRpzv0KfVhVhXY5rlqc", "Tratado de brujeria vasca")</f>
        <v>0</v>
      </c>
      <c r="B594" t="s">
        <v>44</v>
      </c>
      <c r="C594" t="s">
        <v>1066</v>
      </c>
      <c r="D594" t="s">
        <v>2373</v>
      </c>
      <c r="E594" t="s">
        <v>3117</v>
      </c>
      <c r="F594" t="s">
        <v>3130</v>
      </c>
      <c r="G594" s="2" t="s">
        <v>3724</v>
      </c>
      <c r="H594">
        <v>6.405E-05</v>
      </c>
      <c r="I594">
        <v>7.07E-05</v>
      </c>
      <c r="J594">
        <v>0.00013475</v>
      </c>
    </row>
    <row r="595" spans="1:10">
      <c r="A595">
        <f>HYPERLINK("https://mega.nz/file/rEtB2JQA#U3xkJT99LTjTkcyBCk33qL3Co90o-irXC3Wy8Ab9z3Y", "Tratado esoterico de teurgia")</f>
        <v>0</v>
      </c>
      <c r="B595" t="s">
        <v>44</v>
      </c>
      <c r="C595" t="s">
        <v>1067</v>
      </c>
      <c r="D595" t="s">
        <v>2374</v>
      </c>
      <c r="E595" t="s">
        <v>3117</v>
      </c>
      <c r="F595" t="s">
        <v>3130</v>
      </c>
      <c r="G595" s="2" t="s">
        <v>3725</v>
      </c>
      <c r="H595">
        <v>6.405E-05</v>
      </c>
      <c r="I595">
        <v>6.86E-05</v>
      </c>
      <c r="J595">
        <v>0.00013265</v>
      </c>
    </row>
    <row r="596" spans="1:10">
      <c r="A596">
        <f>HYPERLINK("https://mega.nz/file/KJdBEIqQ#acQnGFPVt8cPxuciOdtEG6q5iy4XFP4c6YcL_z63YeM", "Tratado Sobre El Infierno")</f>
        <v>0</v>
      </c>
      <c r="B596" t="s">
        <v>44</v>
      </c>
      <c r="C596" t="s">
        <v>1068</v>
      </c>
      <c r="D596" t="s">
        <v>2375</v>
      </c>
      <c r="E596" t="s">
        <v>3117</v>
      </c>
      <c r="F596" t="s">
        <v>3130</v>
      </c>
      <c r="G596" s="2" t="s">
        <v>3726</v>
      </c>
      <c r="H596">
        <v>6.545000000000001E-05</v>
      </c>
      <c r="I596">
        <v>6.999999999999999E-05</v>
      </c>
      <c r="J596">
        <v>0.00013545</v>
      </c>
    </row>
    <row r="597" spans="1:10">
      <c r="A597">
        <f>HYPERLINK("https://mega.nz/file/jV8ilD7A#bXmK5sPMImKUBGKc5frf7-Fj-3zEX96tDSWqlIZHZn4", "Tree Cults in Northern Magic")</f>
        <v>0</v>
      </c>
      <c r="B597" t="s">
        <v>44</v>
      </c>
      <c r="C597" t="s">
        <v>1069</v>
      </c>
      <c r="D597" t="s">
        <v>2376</v>
      </c>
      <c r="E597" t="s">
        <v>3117</v>
      </c>
      <c r="F597" t="s">
        <v>3131</v>
      </c>
      <c r="G597" s="2" t="s">
        <v>3727</v>
      </c>
      <c r="H597">
        <v>5.6E-05</v>
      </c>
      <c r="I597">
        <v>5.215E-05</v>
      </c>
      <c r="J597">
        <v>0.00010815</v>
      </c>
    </row>
    <row r="598" spans="1:10">
      <c r="A598">
        <f>HYPERLINK("https://mega.nz/file/Cd9jgIqb#L__HA1bLC8lSl1hYGyEVxLLEz6IseE5V96rUGwGsgTo", "Trinidad")</f>
        <v>0</v>
      </c>
      <c r="B598" t="s">
        <v>44</v>
      </c>
      <c r="C598" t="s">
        <v>1070</v>
      </c>
      <c r="D598" t="s">
        <v>2377</v>
      </c>
      <c r="E598" t="s">
        <v>3117</v>
      </c>
      <c r="F598" t="s">
        <v>3131</v>
      </c>
      <c r="G598" s="2" t="s">
        <v>3728</v>
      </c>
      <c r="H598">
        <v>5.67E-05</v>
      </c>
      <c r="I598">
        <v>4.795E-05</v>
      </c>
      <c r="J598">
        <v>0.00010465</v>
      </c>
    </row>
    <row r="599" spans="1:10">
      <c r="A599">
        <f>HYPERLINK("https://mega.nz/file/rAcV0Kza#3zk_CS6oJ_ck8dJp4IgSkUN52c5OTcVfh3ewczRZX48", "Trithemius Causanus and the Will to the Infinite- A Pre-Faustian Paradigm")</f>
        <v>0</v>
      </c>
      <c r="B599" t="s">
        <v>44</v>
      </c>
      <c r="C599" t="s">
        <v>1071</v>
      </c>
      <c r="D599" t="s">
        <v>2378</v>
      </c>
      <c r="E599" t="s">
        <v>3117</v>
      </c>
      <c r="F599" t="s">
        <v>3131</v>
      </c>
      <c r="G599" s="2" t="s">
        <v>3729</v>
      </c>
      <c r="H599">
        <v>7.559999999999999E-05</v>
      </c>
      <c r="I599">
        <v>5.705E-05</v>
      </c>
      <c r="J599">
        <v>0.00013265</v>
      </c>
    </row>
    <row r="600" spans="1:10">
      <c r="A600">
        <f>HYPERLINK("https://mega.nz/file/vI1HDBwD#0WSQ_b6zCOTEgbfF9bNkad38Fa2kzYQE_5LGHRnG26A", "Tulku Thondup")</f>
        <v>0</v>
      </c>
      <c r="B600" t="s">
        <v>44</v>
      </c>
      <c r="C600" t="s">
        <v>1072</v>
      </c>
      <c r="D600" t="s">
        <v>2379</v>
      </c>
      <c r="E600" t="s">
        <v>3117</v>
      </c>
      <c r="F600" t="s">
        <v>3131</v>
      </c>
      <c r="G600" s="2" t="s">
        <v>3730</v>
      </c>
      <c r="H600">
        <v>6.02E-05</v>
      </c>
      <c r="I600">
        <v>5.18E-05</v>
      </c>
      <c r="J600">
        <v>0.000112</v>
      </c>
    </row>
    <row r="601" spans="1:10">
      <c r="A601">
        <f>HYPERLINK("https://mega.nz/file/TVFASQJK#BIHYVt7JX7SSHSs5LcwKeGvL6hrdqOx0-ZMASsPPyVQ", "Twilight Yoga III")</f>
        <v>0</v>
      </c>
      <c r="B601" t="s">
        <v>44</v>
      </c>
      <c r="C601" t="s">
        <v>1073</v>
      </c>
      <c r="D601" t="s">
        <v>2380</v>
      </c>
      <c r="E601" t="s">
        <v>3119</v>
      </c>
      <c r="F601" t="s">
        <v>3131</v>
      </c>
      <c r="G601" s="2" t="s">
        <v>3731</v>
      </c>
      <c r="H601">
        <v>5.775E-05</v>
      </c>
      <c r="I601">
        <v>4.34E-05</v>
      </c>
      <c r="J601">
        <v>0.00010115</v>
      </c>
    </row>
    <row r="602" spans="1:10">
      <c r="A602">
        <f>HYPERLINK("https://mega.nz/file/KY0BQYpA#71oOiOSml64__vEq23G6L84cXggfyp2SVIPcazBNlrM", "Título Desconocido")</f>
        <v>0</v>
      </c>
      <c r="B602" t="s">
        <v>44</v>
      </c>
      <c r="C602" t="s">
        <v>1074</v>
      </c>
      <c r="D602" t="s">
        <v>2381</v>
      </c>
      <c r="E602" t="s">
        <v>3117</v>
      </c>
      <c r="F602" t="s">
        <v>3131</v>
      </c>
      <c r="G602" s="2" t="s">
        <v>3732</v>
      </c>
      <c r="H602">
        <v>6.37E-05</v>
      </c>
      <c r="I602">
        <v>4.095E-05</v>
      </c>
      <c r="J602">
        <v>0.00010465</v>
      </c>
    </row>
    <row r="603" spans="1:10">
      <c r="A603">
        <f>HYPERLINK("https://mega.nz/file/mIlEkTLT#T4rtVvhx604qBeNbKDhB0qBtlRIUAVfcp6e1c1RX-sQ", "Ultraculture Journal One")</f>
        <v>0</v>
      </c>
      <c r="B603" t="s">
        <v>44</v>
      </c>
      <c r="C603" t="s">
        <v>1075</v>
      </c>
      <c r="D603" t="s">
        <v>2382</v>
      </c>
      <c r="E603" t="s">
        <v>3117</v>
      </c>
      <c r="F603" t="s">
        <v>3131</v>
      </c>
      <c r="G603" s="2" t="s">
        <v>3733</v>
      </c>
      <c r="H603">
        <v>5.915E-05</v>
      </c>
      <c r="I603">
        <v>4.935E-05</v>
      </c>
      <c r="J603">
        <v>0.0001085</v>
      </c>
    </row>
    <row r="604" spans="1:10">
      <c r="A604">
        <f>HYPERLINK("https://mega.nz/file/iUUWDDrA#rFqiG83nr-Anhix_kGmD5rUYv-TVseOrCMnfukzeTJQ", "Una Ordalia Atribuida Al Rey Salomon En Un Apocrifo Arabe")</f>
        <v>0</v>
      </c>
      <c r="B604" t="s">
        <v>44</v>
      </c>
      <c r="C604" t="s">
        <v>1076</v>
      </c>
      <c r="D604" t="s">
        <v>2383</v>
      </c>
      <c r="E604" t="s">
        <v>3117</v>
      </c>
      <c r="F604" t="s">
        <v>3130</v>
      </c>
      <c r="G604" s="2" t="s">
        <v>3734</v>
      </c>
      <c r="H604">
        <v>7.595E-05</v>
      </c>
      <c r="I604">
        <v>6.755E-05</v>
      </c>
      <c r="J604">
        <v>0.0001435</v>
      </c>
    </row>
    <row r="605" spans="1:10">
      <c r="A605">
        <f>HYPERLINK("https://mega.nz/file/OAECzBLa#vYOECgDRHHVUOOBNaV6FseozKNiY8NQiCExjB9hR9Bs", "Unleash Your Telekinetic Ability")</f>
        <v>0</v>
      </c>
      <c r="B605" t="s">
        <v>44</v>
      </c>
      <c r="C605" t="s">
        <v>1077</v>
      </c>
      <c r="D605" t="s">
        <v>2384</v>
      </c>
      <c r="E605" t="s">
        <v>3117</v>
      </c>
      <c r="F605" t="s">
        <v>3131</v>
      </c>
      <c r="G605" s="2" t="s">
        <v>3735</v>
      </c>
      <c r="H605">
        <v>6.195E-05</v>
      </c>
      <c r="I605">
        <v>5.67E-05</v>
      </c>
      <c r="J605">
        <v>0.00011865</v>
      </c>
    </row>
    <row r="606" spans="1:10">
      <c r="A606">
        <f>HYPERLINK("https://mega.nz/file/udFEVTKD#f4IpJ8Q1r3t3NyuVxFIGnzr2JMnYV6iui87kttmzsic", "Verbal Rune Magic")</f>
        <v>0</v>
      </c>
      <c r="B606" t="s">
        <v>44</v>
      </c>
      <c r="C606" t="s">
        <v>1078</v>
      </c>
      <c r="D606" t="s">
        <v>2385</v>
      </c>
      <c r="E606" t="s">
        <v>3124</v>
      </c>
      <c r="F606" t="s">
        <v>3131</v>
      </c>
      <c r="G606" s="2" t="s">
        <v>3736</v>
      </c>
      <c r="H606">
        <v>5.88E-05</v>
      </c>
      <c r="I606">
        <v>4.865E-05</v>
      </c>
      <c r="J606">
        <v>0.00010745</v>
      </c>
    </row>
    <row r="607" spans="1:10">
      <c r="A607">
        <f>HYPERLINK("https://mega.nz/file/jUU3kZBR#UeQ4l87oxSC6KobArKLOdOjVWp4sVQNc7iYvFOAAzEA", "Vida y Ensenanza de Los Maestros del Lejano Oriente Colleccion Completa")</f>
        <v>0</v>
      </c>
      <c r="B607" t="s">
        <v>44</v>
      </c>
      <c r="C607" t="s">
        <v>1079</v>
      </c>
      <c r="D607" t="s">
        <v>2386</v>
      </c>
      <c r="E607" t="s">
        <v>3117</v>
      </c>
      <c r="F607" t="s">
        <v>3130</v>
      </c>
      <c r="G607" s="2" t="s">
        <v>3737</v>
      </c>
      <c r="H607">
        <v>7.805E-05</v>
      </c>
      <c r="I607">
        <v>6.545000000000001E-05</v>
      </c>
      <c r="J607">
        <v>0.0001435</v>
      </c>
    </row>
    <row r="608" spans="1:10">
      <c r="A608">
        <f>HYPERLINK("https://mega.nz/file/Gcsh1ARY#wsddTW60gHkXxAv_03h4PwrsKJaDVCJ14IqC562LVYs", "Vox Sabbatum")</f>
        <v>0</v>
      </c>
      <c r="B608" t="s">
        <v>44</v>
      </c>
      <c r="C608" t="s">
        <v>1080</v>
      </c>
      <c r="D608" t="s">
        <v>2387</v>
      </c>
      <c r="E608" t="s">
        <v>3117</v>
      </c>
      <c r="F608" t="s">
        <v>3131</v>
      </c>
      <c r="G608" s="2" t="s">
        <v>3738</v>
      </c>
      <c r="H608">
        <v>5.775E-05</v>
      </c>
      <c r="I608">
        <v>5.04E-05</v>
      </c>
      <c r="J608">
        <v>0.00010815</v>
      </c>
    </row>
    <row r="609" spans="1:10">
      <c r="A609">
        <f>HYPERLINK("https://mega.nz/file/LA1HALxb#ogHr3pNY94HVCz1TxBqERl1AIlfiPXLIkvrAopSGqZ8", "Wake of the Red Death")</f>
        <v>0</v>
      </c>
      <c r="B609" t="s">
        <v>44</v>
      </c>
      <c r="C609" t="s">
        <v>1081</v>
      </c>
      <c r="D609" t="s">
        <v>2388</v>
      </c>
      <c r="E609" t="s">
        <v>3117</v>
      </c>
      <c r="F609" t="s">
        <v>3131</v>
      </c>
      <c r="G609" s="2" t="s">
        <v>3739</v>
      </c>
      <c r="H609">
        <v>5.985E-05</v>
      </c>
      <c r="I609">
        <v>5.53E-05</v>
      </c>
      <c r="J609">
        <v>0.00011515</v>
      </c>
    </row>
    <row r="610" spans="1:10">
      <c r="A610">
        <f>HYPERLINK("https://mega.nz/file/mQVQERRC#0kqTCjGUceqU0XhCTe3GtRbqfOYRdbk0z8HQWIAtz5U", "Walking - Dead - Draugr")</f>
        <v>0</v>
      </c>
      <c r="B610" t="s">
        <v>44</v>
      </c>
      <c r="C610" t="s">
        <v>1082</v>
      </c>
      <c r="D610" t="s">
        <v>2389</v>
      </c>
      <c r="E610" t="s">
        <v>3117</v>
      </c>
      <c r="F610" t="s">
        <v>3131</v>
      </c>
      <c r="G610" s="2" t="s">
        <v>3740</v>
      </c>
      <c r="H610">
        <v>6.195E-05</v>
      </c>
      <c r="I610">
        <v>4.97E-05</v>
      </c>
      <c r="J610">
        <v>0.00011165</v>
      </c>
    </row>
    <row r="611" spans="1:10">
      <c r="A611">
        <f>HYPERLINK("https://mega.nz/file/TVlzFCoJ#RwV16TaHnt0FLVwwkoB3Ed4Nz8M12bkGQtRxDIWN9pA", "Weird Ways of Witchcraft")</f>
        <v>0</v>
      </c>
      <c r="B611" t="s">
        <v>44</v>
      </c>
      <c r="C611" t="s">
        <v>1083</v>
      </c>
      <c r="D611" t="s">
        <v>2390</v>
      </c>
      <c r="E611" t="s">
        <v>3123</v>
      </c>
      <c r="F611" t="s">
        <v>3131</v>
      </c>
      <c r="G611" s="2" t="s">
        <v>3741</v>
      </c>
      <c r="H611">
        <v>6.09E-05</v>
      </c>
      <c r="I611">
        <v>4.865E-05</v>
      </c>
      <c r="J611">
        <v>0.00010955</v>
      </c>
    </row>
    <row r="612" spans="1:10">
      <c r="A612">
        <f>HYPERLINK("https://mega.nz/file/WJkBQKCI#d354pvx0wxxuMK0c-bdSMwllvfdOiu484yP0TFb3_Mg", "What is Orgone Energy")</f>
        <v>0</v>
      </c>
      <c r="B612" t="s">
        <v>44</v>
      </c>
      <c r="C612" t="s">
        <v>1084</v>
      </c>
      <c r="D612" t="s">
        <v>2391</v>
      </c>
      <c r="E612" t="s">
        <v>3117</v>
      </c>
      <c r="F612" t="s">
        <v>3131</v>
      </c>
      <c r="G612" s="2" t="s">
        <v>3742</v>
      </c>
      <c r="H612">
        <v>5.985E-05</v>
      </c>
      <c r="I612">
        <v>5.6E-05</v>
      </c>
      <c r="J612">
        <v>0.00011585</v>
      </c>
    </row>
    <row r="613" spans="1:10">
      <c r="A613">
        <f>HYPERLINK("https://mega.nz/file/CNFQTKSI#y5fnzipsnbxHE9hHtjJ4wpJyDBwjVX6XtpToT_B3n8Q", "Wicca - A True History of Witchcraft")</f>
        <v>0</v>
      </c>
      <c r="B613" t="s">
        <v>44</v>
      </c>
      <c r="C613" t="s">
        <v>1085</v>
      </c>
      <c r="D613" t="s">
        <v>2392</v>
      </c>
      <c r="E613" t="s">
        <v>3123</v>
      </c>
      <c r="F613" t="s">
        <v>3131</v>
      </c>
      <c r="G613" s="2" t="s">
        <v>3743</v>
      </c>
      <c r="H613">
        <v>6.405E-05</v>
      </c>
      <c r="I613">
        <v>5.88E-05</v>
      </c>
      <c r="J613">
        <v>0.00012285</v>
      </c>
    </row>
    <row r="614" spans="1:10">
      <c r="A614">
        <f>HYPERLINK("https://mega.nz/file/mBkhgLSA#6gqJOv-VvtDRq47tQOUOj6EfHcnaiGtZKWy9P8j6pFw", "Wicca - Book 2 of Wicca")</f>
        <v>0</v>
      </c>
      <c r="B614" t="s">
        <v>44</v>
      </c>
      <c r="C614" t="s">
        <v>1086</v>
      </c>
      <c r="D614" t="s">
        <v>2393</v>
      </c>
      <c r="E614" t="s">
        <v>3123</v>
      </c>
      <c r="F614" t="s">
        <v>3131</v>
      </c>
      <c r="G614" s="2" t="s">
        <v>3744</v>
      </c>
      <c r="H614">
        <v>6.405E-05</v>
      </c>
      <c r="I614">
        <v>5.18E-05</v>
      </c>
      <c r="J614">
        <v>0.00011585</v>
      </c>
    </row>
    <row r="615" spans="1:10">
      <c r="A615">
        <f>HYPERLINK("https://mega.nz/file/XEFj0aiT#dpt_FCDAWP4qMlfPz7UM_QuRa3IF6erbLqLA-QvCq8k", "Wicca - Gardnerian Book of Shadows")</f>
        <v>0</v>
      </c>
      <c r="B615" t="s">
        <v>44</v>
      </c>
      <c r="C615" t="s">
        <v>1087</v>
      </c>
      <c r="D615" t="s">
        <v>2394</v>
      </c>
      <c r="E615" t="s">
        <v>3123</v>
      </c>
      <c r="F615" t="s">
        <v>3131</v>
      </c>
      <c r="G615" s="2" t="s">
        <v>3745</v>
      </c>
      <c r="H615">
        <v>6.3E-05</v>
      </c>
      <c r="I615">
        <v>5.355E-05</v>
      </c>
      <c r="J615">
        <v>0.00011655</v>
      </c>
    </row>
    <row r="616" spans="1:10">
      <c r="A616">
        <f>HYPERLINK("https://mega.nz/file/LVsRWTLI#aH31_REqWFMBe6DVB4JEVF4UCeo0codfjq7QncUAjE0", "Wicca El Verdadero Arte De Las Brujas")</f>
        <v>0</v>
      </c>
      <c r="B616" t="s">
        <v>44</v>
      </c>
      <c r="C616" t="s">
        <v>1088</v>
      </c>
      <c r="D616" t="s">
        <v>2395</v>
      </c>
      <c r="E616" t="s">
        <v>3123</v>
      </c>
      <c r="F616" t="s">
        <v>3130</v>
      </c>
      <c r="G616" s="2" t="s">
        <v>3746</v>
      </c>
      <c r="H616">
        <v>6.51E-05</v>
      </c>
      <c r="I616">
        <v>6.965E-05</v>
      </c>
      <c r="J616">
        <v>0.00013475</v>
      </c>
    </row>
    <row r="617" spans="1:10">
      <c r="A617">
        <f>HYPERLINK("https://mega.nz/file/6cEWnYCT#A6SXpkKANxnUzkrswQug3q3HrFaQIlJdyoaQ0G7Vqmk", "Wiccan Spells")</f>
        <v>0</v>
      </c>
      <c r="B617" t="s">
        <v>44</v>
      </c>
      <c r="C617" t="s">
        <v>1089</v>
      </c>
      <c r="D617" t="s">
        <v>2396</v>
      </c>
      <c r="E617" t="s">
        <v>3123</v>
      </c>
      <c r="F617" t="s">
        <v>3131</v>
      </c>
      <c r="G617" s="2" t="s">
        <v>3747</v>
      </c>
      <c r="H617">
        <v>5.985E-05</v>
      </c>
      <c r="I617">
        <v>5.6E-05</v>
      </c>
      <c r="J617">
        <v>0.00011585</v>
      </c>
    </row>
    <row r="618" spans="1:10">
      <c r="A618">
        <f>HYPERLINK("https://mega.nz/file/6UVA2YbQ#40kZzpJzQoFcfvn6fsrunHDLRCwiuFy-xBYMpoJd-Ns", "Within and Beyond")</f>
        <v>0</v>
      </c>
      <c r="B618" t="s">
        <v>44</v>
      </c>
      <c r="C618" t="s">
        <v>1090</v>
      </c>
      <c r="D618" t="s">
        <v>2397</v>
      </c>
      <c r="E618" t="s">
        <v>3117</v>
      </c>
      <c r="F618" t="s">
        <v>3131</v>
      </c>
      <c r="G618" s="2" t="s">
        <v>3748</v>
      </c>
      <c r="H618">
        <v>5.775E-05</v>
      </c>
      <c r="I618">
        <v>4.62E-05</v>
      </c>
      <c r="J618">
        <v>0.00010395</v>
      </c>
    </row>
    <row r="619" spans="1:10">
      <c r="A619">
        <f>HYPERLINK("https://mega.nz/file/rFE2DSqR#gf0UM_NbcHgjDwAnp3WC6rWuAj-MojrzreunYgQGI9M", "Workings of Babalon")</f>
        <v>0</v>
      </c>
      <c r="B619" t="s">
        <v>44</v>
      </c>
      <c r="C619" t="s">
        <v>1091</v>
      </c>
      <c r="D619" t="s">
        <v>2398</v>
      </c>
      <c r="E619" t="s">
        <v>3117</v>
      </c>
      <c r="F619" t="s">
        <v>3131</v>
      </c>
      <c r="G619" s="2" t="s">
        <v>3749</v>
      </c>
      <c r="H619">
        <v>5.985E-05</v>
      </c>
      <c r="I619">
        <v>5.32E-05</v>
      </c>
      <c r="J619">
        <v>0.00011305</v>
      </c>
    </row>
    <row r="620" spans="1:10">
      <c r="A620">
        <f>HYPERLINK("https://mega.nz/file/PRkR3KrL#37bFPbZI2W8uN1AKvAE6juYIgNvnJSihrTU3odW88eI", "Worship of Priapus")</f>
        <v>0</v>
      </c>
      <c r="B620" t="s">
        <v>44</v>
      </c>
      <c r="C620" t="s">
        <v>1092</v>
      </c>
      <c r="D620" t="s">
        <v>2399</v>
      </c>
      <c r="E620" t="s">
        <v>3117</v>
      </c>
      <c r="F620" t="s">
        <v>3131</v>
      </c>
      <c r="G620" s="2" t="s">
        <v>3750</v>
      </c>
      <c r="H620">
        <v>5.985E-05</v>
      </c>
      <c r="I620">
        <v>4.76E-05</v>
      </c>
      <c r="J620">
        <v>0.00010745</v>
      </c>
    </row>
    <row r="621" spans="1:10">
      <c r="A621">
        <f>HYPERLINK("https://mega.nz/file/HANWXTbK#D6hRYO8iKc0HPxHpd1J4A1zwoK8E0pHzHLIef22u7To", "Writings of Nostradamus")</f>
        <v>0</v>
      </c>
      <c r="B621" t="s">
        <v>44</v>
      </c>
      <c r="C621" t="s">
        <v>1093</v>
      </c>
      <c r="D621" t="s">
        <v>2400</v>
      </c>
      <c r="E621" t="s">
        <v>3117</v>
      </c>
      <c r="F621" t="s">
        <v>3131</v>
      </c>
      <c r="G621" s="2" t="s">
        <v>3751</v>
      </c>
      <c r="H621">
        <v>0</v>
      </c>
      <c r="I621">
        <v>5.39E-05</v>
      </c>
      <c r="J621">
        <v>5.39E-05</v>
      </c>
    </row>
    <row r="622" spans="1:10">
      <c r="A622">
        <f>HYPERLINK("https://mega.nz/file/LF0GgIST#y58FqObsegJnLckzdhw-5tEWmc-SrjjcqjzyQBBK27s", "Yezidi Black Book")</f>
        <v>0</v>
      </c>
      <c r="B622" t="s">
        <v>44</v>
      </c>
      <c r="C622" t="s">
        <v>1094</v>
      </c>
      <c r="D622" t="s">
        <v>2401</v>
      </c>
      <c r="E622" t="s">
        <v>3117</v>
      </c>
      <c r="F622" t="s">
        <v>3131</v>
      </c>
      <c r="G622" s="2" t="s">
        <v>3752</v>
      </c>
      <c r="H622">
        <v>5.985E-05</v>
      </c>
      <c r="I622">
        <v>5.32E-05</v>
      </c>
      <c r="J622">
        <v>0.00011305</v>
      </c>
    </row>
    <row r="623" spans="1:10">
      <c r="A623">
        <f>HYPERLINK("https://mega.nz/file/PMFGUboK#_kHkh_Mc-2OPJfeD6Q7hYfEnZUSlf_VPIjxy0Rb2ow4", "Yoga Easy Steps")</f>
        <v>0</v>
      </c>
      <c r="B623" t="s">
        <v>44</v>
      </c>
      <c r="C623" t="s">
        <v>1095</v>
      </c>
      <c r="D623" t="s">
        <v>2402</v>
      </c>
      <c r="E623" t="s">
        <v>3119</v>
      </c>
      <c r="F623" t="s">
        <v>3131</v>
      </c>
      <c r="G623" s="2" t="s">
        <v>3753</v>
      </c>
      <c r="H623">
        <v>5.81E-05</v>
      </c>
      <c r="I623">
        <v>4.62E-05</v>
      </c>
      <c r="J623">
        <v>0.0001043</v>
      </c>
    </row>
    <row r="624" spans="1:10">
      <c r="A624">
        <f>HYPERLINK("https://mega.nz/file/bUUUUAqK#_BDtwFZWohYzKdCHBeXYv9nfYx8c5O79TTj5hVJliXQ", "Yoni Tantra")</f>
        <v>0</v>
      </c>
      <c r="B624" t="s">
        <v>44</v>
      </c>
      <c r="C624" t="s">
        <v>1096</v>
      </c>
      <c r="D624" t="s">
        <v>2403</v>
      </c>
      <c r="E624" t="s">
        <v>3119</v>
      </c>
      <c r="F624" t="s">
        <v>3131</v>
      </c>
      <c r="G624" s="2" t="s">
        <v>3754</v>
      </c>
      <c r="H624">
        <v>5.88E-05</v>
      </c>
      <c r="I624">
        <v>4.865E-05</v>
      </c>
      <c r="J624">
        <v>0.00010745</v>
      </c>
    </row>
    <row r="625" spans="1:10">
      <c r="A625">
        <f>HYPERLINK("https://mega.nz/file/aVlmDTwD#Uevh2SEHkT5P0Hb0n5rBi4c3YMgYnJgDNtww3nHhk5o", "Zenarchist Cookbook")</f>
        <v>0</v>
      </c>
      <c r="B625" t="s">
        <v>44</v>
      </c>
      <c r="C625" t="s">
        <v>1097</v>
      </c>
      <c r="D625" t="s">
        <v>2404</v>
      </c>
      <c r="E625" t="s">
        <v>3117</v>
      </c>
      <c r="F625" t="s">
        <v>3131</v>
      </c>
      <c r="G625" s="2" t="s">
        <v>3755</v>
      </c>
      <c r="H625">
        <v>5.95E-05</v>
      </c>
      <c r="I625">
        <v>4.515E-05</v>
      </c>
      <c r="J625">
        <v>0.00010465</v>
      </c>
    </row>
    <row r="626" spans="1:10">
      <c r="A626">
        <f>HYPERLINK("https://mega.nz/file/6I9mkAoT#OMJ5toGWq4vNJHTwovoCUoeHPugAMhLdd4vO9Qx6F8c", "Zoetic Grimoire of Zos")</f>
        <v>0</v>
      </c>
      <c r="B626" t="s">
        <v>44</v>
      </c>
      <c r="C626" t="s">
        <v>1098</v>
      </c>
      <c r="D626" t="s">
        <v>2405</v>
      </c>
      <c r="E626" t="s">
        <v>3117</v>
      </c>
      <c r="F626" t="s">
        <v>3131</v>
      </c>
      <c r="G626" s="2" t="s">
        <v>3756</v>
      </c>
      <c r="H626">
        <v>6.405E-05</v>
      </c>
      <c r="I626">
        <v>5.215E-05</v>
      </c>
      <c r="J626">
        <v>0.0001162</v>
      </c>
    </row>
    <row r="627" spans="1:10">
      <c r="A627">
        <f>HYPERLINK("https://mega.nz/file/uJ1hXCrZ#dtouY5ap6f8eElACv-8aKPjrzI38KDkOp2_kExvc-aQ", "Zohar vol 1")</f>
        <v>0</v>
      </c>
      <c r="B627" t="s">
        <v>44</v>
      </c>
      <c r="C627" t="s">
        <v>1099</v>
      </c>
      <c r="D627" t="s">
        <v>2406</v>
      </c>
      <c r="E627" t="s">
        <v>3118</v>
      </c>
      <c r="F627" t="s">
        <v>3131</v>
      </c>
      <c r="G627" s="2" t="s">
        <v>3757</v>
      </c>
      <c r="H627">
        <v>6.09E-05</v>
      </c>
      <c r="I627">
        <v>5.25E-05</v>
      </c>
      <c r="J627">
        <v>0.0001134</v>
      </c>
    </row>
    <row r="628" spans="1:10">
      <c r="A628">
        <f>HYPERLINK("https://mega.nz/file/TFNRwDBD#j6tnXJDOeYhjVd30VZgXk0bxn9EShcpKty9mmcHNq8g", "Árbol Genealógico de Las Religiones Del Mundo")</f>
        <v>0</v>
      </c>
      <c r="B628" t="s">
        <v>44</v>
      </c>
      <c r="C628" t="s">
        <v>1100</v>
      </c>
      <c r="D628" t="s">
        <v>2407</v>
      </c>
      <c r="E628" t="s">
        <v>3117</v>
      </c>
      <c r="F628" t="s">
        <v>3130</v>
      </c>
      <c r="G628" s="2" t="s">
        <v>3758</v>
      </c>
      <c r="H628">
        <v>7.035E-05</v>
      </c>
      <c r="I628">
        <v>6.685E-05</v>
      </c>
      <c r="J628">
        <v>0.0001372</v>
      </c>
    </row>
    <row r="629" spans="1:10">
      <c r="A629">
        <f>HYPERLINK("https://mega.nz/file/KVkWCSzT#PWSPHmu53i52lNDnj2T--WkiIqdO7THcRnNRqzPI4gY", "Astrologia")</f>
        <v>0</v>
      </c>
      <c r="B629" t="s">
        <v>45</v>
      </c>
      <c r="C629" t="s">
        <v>1101</v>
      </c>
      <c r="D629" t="s">
        <v>2408</v>
      </c>
      <c r="E629" t="s">
        <v>3121</v>
      </c>
      <c r="F629" t="s">
        <v>3131</v>
      </c>
      <c r="G629" s="2" t="s">
        <v>3759</v>
      </c>
      <c r="H629">
        <v>6.02E-05</v>
      </c>
      <c r="I629">
        <v>5.95E-05</v>
      </c>
      <c r="J629">
        <v>0.0001197</v>
      </c>
    </row>
    <row r="630" spans="1:10">
      <c r="A630">
        <f>HYPERLINK("https://mega.nz/file/GU9UDbRb#JP8F_VC4m8Iz_Ypqd_JnHq_oii0hxcq3ctvQcNPsNuU", "Astrologia")</f>
        <v>0</v>
      </c>
      <c r="B630" t="s">
        <v>45</v>
      </c>
      <c r="C630" t="s">
        <v>1101</v>
      </c>
      <c r="D630" t="s">
        <v>2409</v>
      </c>
      <c r="E630" t="s">
        <v>3121</v>
      </c>
      <c r="F630" t="s">
        <v>3131</v>
      </c>
      <c r="G630" s="2" t="s">
        <v>3760</v>
      </c>
      <c r="H630">
        <v>6.02E-05</v>
      </c>
      <c r="I630">
        <v>5.53E-05</v>
      </c>
      <c r="J630">
        <v>0.0001155</v>
      </c>
    </row>
    <row r="631" spans="1:10">
      <c r="A631">
        <f>HYPERLINK("https://mega.nz/file/GYsyUZIK#UfJ0jjyrBKFm3cJIhWAnjKMvmpQdIU62yAuyGfZMn6o", "Astrologia")</f>
        <v>0</v>
      </c>
      <c r="B631" t="s">
        <v>45</v>
      </c>
      <c r="C631" t="s">
        <v>1101</v>
      </c>
      <c r="D631" t="s">
        <v>2410</v>
      </c>
      <c r="E631" t="s">
        <v>3121</v>
      </c>
      <c r="F631" t="s">
        <v>3131</v>
      </c>
      <c r="G631" s="2" t="s">
        <v>3761</v>
      </c>
      <c r="H631">
        <v>6.125E-05</v>
      </c>
      <c r="I631">
        <v>4.62E-05</v>
      </c>
      <c r="J631">
        <v>0.00010745</v>
      </c>
    </row>
    <row r="632" spans="1:10">
      <c r="A632">
        <f>HYPERLINK("https://mega.nz/file/2Yl2VRzK#U22Aj_GwClWp-VnbfIkpOoau4xUl2h2jfWcgv0yOS5s", "Astrologia 1")</f>
        <v>0</v>
      </c>
      <c r="B632" t="s">
        <v>45</v>
      </c>
      <c r="C632" t="s">
        <v>1102</v>
      </c>
      <c r="D632" t="s">
        <v>2411</v>
      </c>
      <c r="E632" t="s">
        <v>3121</v>
      </c>
      <c r="F632" t="s">
        <v>3131</v>
      </c>
      <c r="G632" s="2" t="s">
        <v>3762</v>
      </c>
      <c r="H632">
        <v>6.160000000000001E-05</v>
      </c>
      <c r="I632">
        <v>5.39E-05</v>
      </c>
      <c r="J632">
        <v>0.0001155</v>
      </c>
    </row>
    <row r="633" spans="1:10">
      <c r="A633">
        <f>HYPERLINK("https://mega.nz/file/XY1TwJbI#nm3yGHRFZSA7CqJbuCrrEZgSka7w-pRXY5piUXiLMtA", "Astrologia 2")</f>
        <v>0</v>
      </c>
      <c r="B633" t="s">
        <v>45</v>
      </c>
      <c r="C633" t="s">
        <v>1103</v>
      </c>
      <c r="D633" t="s">
        <v>2412</v>
      </c>
      <c r="E633" t="s">
        <v>3121</v>
      </c>
      <c r="F633" t="s">
        <v>3131</v>
      </c>
      <c r="G633" s="2" t="s">
        <v>3763</v>
      </c>
      <c r="H633">
        <v>6.160000000000001E-05</v>
      </c>
      <c r="I633">
        <v>6.439999999999999E-05</v>
      </c>
      <c r="J633">
        <v>0.000126</v>
      </c>
    </row>
    <row r="634" spans="1:10">
      <c r="A634">
        <f>HYPERLINK("https://mega.nz/file/KREFzDbB#z5Wpsta390jGBKIDt9p-q50-mwhLXt8hjKRLMWMzLEU", "Astrologia 3")</f>
        <v>0</v>
      </c>
      <c r="B634" t="s">
        <v>45</v>
      </c>
      <c r="C634" t="s">
        <v>1104</v>
      </c>
      <c r="D634" t="s">
        <v>2413</v>
      </c>
      <c r="E634" t="s">
        <v>3121</v>
      </c>
      <c r="F634" t="s">
        <v>3131</v>
      </c>
      <c r="G634" s="2" t="s">
        <v>3764</v>
      </c>
      <c r="H634">
        <v>6.265E-05</v>
      </c>
      <c r="I634">
        <v>5.53E-05</v>
      </c>
      <c r="J634">
        <v>0.00011795</v>
      </c>
    </row>
    <row r="635" spans="1:10">
      <c r="A635">
        <f>HYPERLINK("https://mega.nz/file/2IcylJoQ#oNEXTDZYrEQ12P3QanQtDgqYxT3zcr0ZBMXOuS1XzqQ", "Astrologia 4")</f>
        <v>0</v>
      </c>
      <c r="B635" t="s">
        <v>45</v>
      </c>
      <c r="C635" t="s">
        <v>1105</v>
      </c>
      <c r="D635" t="s">
        <v>2414</v>
      </c>
      <c r="E635" t="s">
        <v>3121</v>
      </c>
      <c r="F635" t="s">
        <v>3131</v>
      </c>
      <c r="G635" s="2" t="s">
        <v>3765</v>
      </c>
      <c r="H635">
        <v>6.265E-05</v>
      </c>
      <c r="I635">
        <v>5.04E-05</v>
      </c>
      <c r="J635">
        <v>0.00011305</v>
      </c>
    </row>
    <row r="636" spans="1:10">
      <c r="A636">
        <f>HYPERLINK("https://mega.nz/file/yMVEhI5I#c26Lo8M9wYFGKVVEFvZ1xtJFq1EW1y67b5GHBf2Bnzk", "Astrologia 7")</f>
        <v>0</v>
      </c>
      <c r="B636" t="s">
        <v>45</v>
      </c>
      <c r="C636" t="s">
        <v>1106</v>
      </c>
      <c r="D636" t="s">
        <v>2415</v>
      </c>
      <c r="E636" t="s">
        <v>3121</v>
      </c>
      <c r="F636" t="s">
        <v>3131</v>
      </c>
      <c r="G636" s="2" t="s">
        <v>3766</v>
      </c>
      <c r="H636">
        <v>6.265E-05</v>
      </c>
      <c r="I636">
        <v>5.74E-05</v>
      </c>
      <c r="J636">
        <v>0.00012005</v>
      </c>
    </row>
    <row r="637" spans="1:10">
      <c r="A637">
        <f>HYPERLINK("https://mega.nz/file/rcFX1KbL#P7csmMWznDjJpUjtUqAg-LspPVe70by94XKw88POo6M", "El Enigma Sagrado")</f>
        <v>0</v>
      </c>
      <c r="B637" t="s">
        <v>46</v>
      </c>
      <c r="C637" t="s">
        <v>1107</v>
      </c>
      <c r="D637" t="s">
        <v>2416</v>
      </c>
      <c r="E637" t="s">
        <v>3117</v>
      </c>
      <c r="F637" t="s">
        <v>3130</v>
      </c>
      <c r="G637" s="2" t="s">
        <v>3767</v>
      </c>
      <c r="H637">
        <v>6.055E-05</v>
      </c>
      <c r="I637">
        <v>6.755E-05</v>
      </c>
      <c r="J637">
        <v>0.0001281</v>
      </c>
    </row>
    <row r="638" spans="1:10">
      <c r="A638">
        <f>HYPERLINK("https://mega.nz/file/6AcCGYaA#fGaRNIEmHpOtqIVZdWdkVoXPjouRTxc5viGqhGBoEeA", "La Conspiracion Del Mar Muerto")</f>
        <v>0</v>
      </c>
      <c r="B638" t="s">
        <v>46</v>
      </c>
      <c r="C638" t="s">
        <v>1108</v>
      </c>
      <c r="D638" t="s">
        <v>2417</v>
      </c>
      <c r="E638" t="s">
        <v>3117</v>
      </c>
      <c r="F638" t="s">
        <v>3130</v>
      </c>
      <c r="G638" s="2" t="s">
        <v>3768</v>
      </c>
      <c r="H638">
        <v>6.37E-05</v>
      </c>
      <c r="I638">
        <v>6.439999999999999E-05</v>
      </c>
      <c r="J638">
        <v>0.0001281</v>
      </c>
    </row>
    <row r="639" spans="1:10">
      <c r="A639">
        <f>HYPERLINK("https://mega.nz/file/WAUhSJob#G-figMynpwjxTBYFUZ2imSqPPAjcplqYT20tgRqGcCE", "Iniciación Humana y Solar")</f>
        <v>0</v>
      </c>
      <c r="B639" t="s">
        <v>47</v>
      </c>
      <c r="C639" t="s">
        <v>1109</v>
      </c>
      <c r="D639" t="s">
        <v>2418</v>
      </c>
      <c r="E639" t="s">
        <v>3117</v>
      </c>
      <c r="F639" t="s">
        <v>3130</v>
      </c>
      <c r="G639" s="2" t="s">
        <v>3769</v>
      </c>
      <c r="H639">
        <v>6.09E-05</v>
      </c>
      <c r="I639">
        <v>6.51E-05</v>
      </c>
      <c r="J639">
        <v>0.000126</v>
      </c>
    </row>
    <row r="640" spans="1:10">
      <c r="A640">
        <f>HYPERLINK("https://mega.nz/file/LNVBFIgT#bnNs1NLVeMKxnXi_76psfHGk7yd-2GWzdzKbQhMOZGQ", "Tratado de los Siete Rayos")</f>
        <v>0</v>
      </c>
      <c r="B640" t="s">
        <v>48</v>
      </c>
      <c r="C640" t="s">
        <v>1110</v>
      </c>
      <c r="D640" t="s">
        <v>2419</v>
      </c>
      <c r="E640" t="s">
        <v>3117</v>
      </c>
      <c r="F640" t="s">
        <v>3130</v>
      </c>
      <c r="G640" s="2" t="s">
        <v>3770</v>
      </c>
      <c r="H640">
        <v>6.405E-05</v>
      </c>
      <c r="I640">
        <v>6.58E-05</v>
      </c>
      <c r="J640">
        <v>0.00012985</v>
      </c>
    </row>
    <row r="641" spans="1:10">
      <c r="A641">
        <f>HYPERLINK("https://mega.nz/file/GUVghL4T#e_dwCNNHe6nVndCofDiukKBWKGUgOU7DuiXvvov_UnQ", "Temple of Set")</f>
        <v>0</v>
      </c>
      <c r="B641" t="s">
        <v>49</v>
      </c>
      <c r="C641" t="s">
        <v>450</v>
      </c>
      <c r="D641" t="s">
        <v>2420</v>
      </c>
      <c r="E641" t="s">
        <v>3117</v>
      </c>
      <c r="F641" t="s">
        <v>3131</v>
      </c>
      <c r="G641" s="2" t="s">
        <v>3771</v>
      </c>
      <c r="H641">
        <v>5.88E-05</v>
      </c>
      <c r="I641">
        <v>5.915E-05</v>
      </c>
      <c r="J641">
        <v>0.00011795</v>
      </c>
    </row>
    <row r="642" spans="1:10">
      <c r="A642">
        <f>HYPERLINK("https://mega.nz/file/uB1SkBAY#76SPjxi6Dm2iR9dzm_UmyFRUH0v7Bso2rFP5bNtuHf8", "Temple of Set FAQ")</f>
        <v>0</v>
      </c>
      <c r="B642" t="s">
        <v>49</v>
      </c>
      <c r="C642" t="s">
        <v>1111</v>
      </c>
      <c r="D642" t="s">
        <v>2421</v>
      </c>
      <c r="E642" t="s">
        <v>3117</v>
      </c>
      <c r="F642" t="s">
        <v>3131</v>
      </c>
      <c r="G642" s="2" t="s">
        <v>3772</v>
      </c>
      <c r="H642">
        <v>5.46E-05</v>
      </c>
      <c r="I642">
        <v>5.18E-05</v>
      </c>
      <c r="J642">
        <v>0.0001064</v>
      </c>
    </row>
    <row r="643" spans="1:10">
      <c r="A643">
        <f>HYPERLINK("https://mega.nz/file/rMVhkAhB#wfHN8-jbghHiGMQl_w-_LPt-GZmI6iztrAPr7Se609c", "Satanic Mass")</f>
        <v>0</v>
      </c>
      <c r="B643" t="s">
        <v>50</v>
      </c>
      <c r="C643" t="s">
        <v>1112</v>
      </c>
      <c r="D643" t="s">
        <v>2422</v>
      </c>
      <c r="E643" t="s">
        <v>3117</v>
      </c>
      <c r="F643" t="s">
        <v>3131</v>
      </c>
      <c r="G643" s="2" t="s">
        <v>3773</v>
      </c>
      <c r="H643">
        <v>6.265E-05</v>
      </c>
      <c r="I643">
        <v>5.145E-05</v>
      </c>
      <c r="J643">
        <v>0.0001141</v>
      </c>
    </row>
    <row r="644" spans="1:10">
      <c r="A644">
        <f>HYPERLINK("https://mega.nz/file/LNlykAST#VK4OE14Y07aIDTb3UJgSkVfdqN_SuI-T-nRF_PbuCDQ", "Concordancia Mito Fisico Cabalo Hermetica")</f>
        <v>0</v>
      </c>
      <c r="B644" t="s">
        <v>51</v>
      </c>
      <c r="C644" t="s">
        <v>1113</v>
      </c>
      <c r="D644" t="s">
        <v>2423</v>
      </c>
      <c r="E644" t="s">
        <v>3117</v>
      </c>
      <c r="F644" t="s">
        <v>3131</v>
      </c>
      <c r="G644" s="2" t="s">
        <v>3774</v>
      </c>
      <c r="H644">
        <v>7.07E-05</v>
      </c>
      <c r="I644">
        <v>4.83E-05</v>
      </c>
      <c r="J644">
        <v>0.000119</v>
      </c>
    </row>
    <row r="645" spans="1:10">
      <c r="A645">
        <f>HYPERLINK("https://mega.nz/file/HMFiwK4Q#AN0iHzz-2OB9F1ftraIjDmiKduiC0QEPOYQXOl1gqqo", "El Enigma De La Esfinge")</f>
        <v>0</v>
      </c>
      <c r="B645" t="s">
        <v>52</v>
      </c>
      <c r="C645" t="s">
        <v>1114</v>
      </c>
      <c r="D645" t="s">
        <v>2424</v>
      </c>
      <c r="E645" t="s">
        <v>3117</v>
      </c>
      <c r="F645" t="s">
        <v>3130</v>
      </c>
      <c r="G645" s="2" t="s">
        <v>3775</v>
      </c>
      <c r="H645">
        <v>6.475E-05</v>
      </c>
      <c r="I645">
        <v>6.195E-05</v>
      </c>
      <c r="J645">
        <v>0.0001267</v>
      </c>
    </row>
    <row r="646" spans="1:10">
      <c r="A646">
        <f>HYPERLINK("https://mega.nz/file/TQ0RTIIQ#x8dRI3Rplspqg3qi31bLK2_SjVtXkBisu25_GzImfss", "Initiation into Hermetics")</f>
        <v>0</v>
      </c>
      <c r="B646" t="s">
        <v>53</v>
      </c>
      <c r="C646" t="s">
        <v>1115</v>
      </c>
      <c r="D646" t="s">
        <v>2425</v>
      </c>
      <c r="E646" t="s">
        <v>3117</v>
      </c>
      <c r="F646" t="s">
        <v>3131</v>
      </c>
      <c r="G646" s="2" t="s">
        <v>3776</v>
      </c>
      <c r="H646">
        <v>5.915E-05</v>
      </c>
      <c r="I646">
        <v>6.23E-05</v>
      </c>
      <c r="J646">
        <v>0.00012145</v>
      </c>
    </row>
    <row r="647" spans="1:10">
      <c r="A647">
        <f>HYPERLINK("https://mega.nz/file/LV1ghYoa#1Jyqj-CYvFir0Wu4_4v7QwCK-1b2W1_o4vGmT3U6vTw", "La Conversion Al Cristianismo Durante Los Primeros Siglos")</f>
        <v>0</v>
      </c>
      <c r="B647" t="s">
        <v>54</v>
      </c>
      <c r="C647" t="s">
        <v>1116</v>
      </c>
      <c r="D647" t="s">
        <v>2426</v>
      </c>
      <c r="E647" t="s">
        <v>3117</v>
      </c>
      <c r="F647" t="s">
        <v>3130</v>
      </c>
      <c r="G647" s="2" t="s">
        <v>3777</v>
      </c>
      <c r="H647">
        <v>7.035E-05</v>
      </c>
      <c r="I647">
        <v>5.635E-05</v>
      </c>
      <c r="J647">
        <v>0.0001267</v>
      </c>
    </row>
    <row r="648" spans="1:10">
      <c r="A648">
        <f>HYPERLINK("https://mega.nz/file/LF1TCAoQ#M5KH7dn9K1sM9CL78BPY2R6cB1ZwDy5dW8Be3rplsh0", "The Magus")</f>
        <v>0</v>
      </c>
      <c r="B648" t="s">
        <v>55</v>
      </c>
      <c r="C648" t="s">
        <v>1117</v>
      </c>
      <c r="D648" t="s">
        <v>2427</v>
      </c>
      <c r="E648" t="s">
        <v>3117</v>
      </c>
      <c r="F648" t="s">
        <v>3131</v>
      </c>
      <c r="G648" s="2" t="s">
        <v>3778</v>
      </c>
      <c r="H648">
        <v>5.74E-05</v>
      </c>
      <c r="I648">
        <v>5.6E-05</v>
      </c>
      <c r="J648">
        <v>0.0001134</v>
      </c>
    </row>
    <row r="649" spans="1:10">
      <c r="A649">
        <f>HYPERLINK("https://mega.nz/file/aQNkBYLR#CmwAaA6mKZ6LMPeKZBWHaF-Dg-sMsvOK7HOxWBy9_W8", "The Magus Vol 1")</f>
        <v>0</v>
      </c>
      <c r="B649" t="s">
        <v>56</v>
      </c>
      <c r="C649" t="s">
        <v>1118</v>
      </c>
      <c r="D649" t="s">
        <v>2428</v>
      </c>
      <c r="E649" t="s">
        <v>3117</v>
      </c>
      <c r="F649" t="s">
        <v>3131</v>
      </c>
      <c r="G649" s="2" t="s">
        <v>3779</v>
      </c>
      <c r="H649">
        <v>6.265E-05</v>
      </c>
      <c r="I649">
        <v>5.845E-05</v>
      </c>
      <c r="J649">
        <v>0.0001211</v>
      </c>
    </row>
    <row r="650" spans="1:10">
      <c r="A650">
        <f>HYPERLINK("https://mega.nz/file/WYFQwQRQ#1IAOOMalRay3zjX0fQN3mUOglMBbCjS6SCYBvLwLZ7s", "The Magus Vol 2")</f>
        <v>0</v>
      </c>
      <c r="B650" t="s">
        <v>56</v>
      </c>
      <c r="C650" t="s">
        <v>1119</v>
      </c>
      <c r="D650" t="s">
        <v>2429</v>
      </c>
      <c r="E650" t="s">
        <v>3117</v>
      </c>
      <c r="F650" t="s">
        <v>3131</v>
      </c>
      <c r="G650" s="2" t="s">
        <v>3780</v>
      </c>
      <c r="H650">
        <v>6.265E-05</v>
      </c>
      <c r="I650">
        <v>5.845E-05</v>
      </c>
      <c r="J650">
        <v>0.0001211</v>
      </c>
    </row>
    <row r="651" spans="1:10">
      <c r="A651">
        <f>HYPERLINK("https://mega.nz/file/LMslACLB#dxB2ytz878DDQ8FTJpGE-hQvJa6UZ8NXSVTZ9sk18-k", "Cristianismos Perdidos Los Credos Perdidos del Nuevo Testamento")</f>
        <v>0</v>
      </c>
      <c r="B651" t="s">
        <v>57</v>
      </c>
      <c r="C651" t="s">
        <v>1120</v>
      </c>
      <c r="D651" t="s">
        <v>2430</v>
      </c>
      <c r="E651" t="s">
        <v>3117</v>
      </c>
      <c r="F651" t="s">
        <v>3130</v>
      </c>
      <c r="G651" s="2" t="s">
        <v>3781</v>
      </c>
      <c r="H651">
        <v>7.7E-05</v>
      </c>
      <c r="I651">
        <v>5.88E-05</v>
      </c>
      <c r="J651">
        <v>0.0001358</v>
      </c>
    </row>
    <row r="652" spans="1:10">
      <c r="A652">
        <f>HYPERLINK("https://mega.nz/file/eZMEXJCR#ugugwjqKNuBi7uHnYCjKhjaKsWyJla6cxRCy_l4DE1k", "Twelve Keys")</f>
        <v>0</v>
      </c>
      <c r="B652" t="s">
        <v>58</v>
      </c>
      <c r="C652" t="s">
        <v>1121</v>
      </c>
      <c r="D652" t="s">
        <v>2431</v>
      </c>
      <c r="E652" t="s">
        <v>3117</v>
      </c>
      <c r="F652" t="s">
        <v>3131</v>
      </c>
      <c r="G652" s="2" t="s">
        <v>3782</v>
      </c>
      <c r="H652">
        <v>5.635E-05</v>
      </c>
      <c r="I652">
        <v>5.215E-05</v>
      </c>
      <c r="J652">
        <v>0.0001085</v>
      </c>
    </row>
    <row r="653" spans="1:10">
      <c r="A653">
        <f>HYPERLINK("https://mega.nz/file/bRFzHTrY#GROyth1PxmoYc19RCK0JR3QJwwR-UVNQmwYFXci0UqQ", "La Prehistoria Biblica Genesis 1-11")</f>
        <v>0</v>
      </c>
      <c r="B653" t="s">
        <v>59</v>
      </c>
      <c r="C653" t="s">
        <v>1122</v>
      </c>
      <c r="D653" t="s">
        <v>2432</v>
      </c>
      <c r="E653" t="s">
        <v>3117</v>
      </c>
      <c r="F653" t="s">
        <v>3130</v>
      </c>
      <c r="G653" s="2" t="s">
        <v>3783</v>
      </c>
      <c r="H653">
        <v>7.49E-05</v>
      </c>
      <c r="I653">
        <v>6.965E-05</v>
      </c>
      <c r="J653">
        <v>0.00014455</v>
      </c>
    </row>
    <row r="654" spans="1:10">
      <c r="A654">
        <f>HYPERLINK("https://mega.nz/file/TVEzmBra#dOeLSkW6_nTAyKrkPpHouvS2gA3ySaQz6kGMmdHWBhY", "Biblia Cabalistica")</f>
        <v>0</v>
      </c>
      <c r="B654" t="s">
        <v>60</v>
      </c>
      <c r="C654" t="s">
        <v>1123</v>
      </c>
      <c r="D654" t="s">
        <v>2433</v>
      </c>
      <c r="E654" t="s">
        <v>3117</v>
      </c>
      <c r="F654" t="s">
        <v>3131</v>
      </c>
      <c r="G654" s="2" t="s">
        <v>3784</v>
      </c>
      <c r="H654">
        <v>6.160000000000001E-05</v>
      </c>
      <c r="I654">
        <v>5.53E-05</v>
      </c>
      <c r="J654">
        <v>0.0001169</v>
      </c>
    </row>
    <row r="655" spans="1:10">
      <c r="A655">
        <f>HYPERLINK("https://mega.nz/file/3NdSVJSS#AP33-f3a2TAnMD-Dtx9IL-1PrP3JlChKOGuaqBaKXyk", "The Structure of Intelligence")</f>
        <v>0</v>
      </c>
      <c r="B655" t="s">
        <v>61</v>
      </c>
      <c r="C655" t="s">
        <v>1124</v>
      </c>
      <c r="D655" t="s">
        <v>2434</v>
      </c>
      <c r="E655" t="s">
        <v>3117</v>
      </c>
      <c r="F655" t="s">
        <v>3131</v>
      </c>
      <c r="G655" s="2" t="s">
        <v>3785</v>
      </c>
      <c r="H655">
        <v>5.95E-05</v>
      </c>
      <c r="I655">
        <v>5.53E-05</v>
      </c>
      <c r="J655">
        <v>0.0001148</v>
      </c>
    </row>
    <row r="656" spans="1:10">
      <c r="A656">
        <f>HYPERLINK("https://mega.nz/file/6V9Q2KBD#wb-or-IY785feMfCKuU-3tyGPuqg8wDmfh6vDTZt4ds", "Los Manuscritos del Mar Muerto")</f>
        <v>0</v>
      </c>
      <c r="B656" t="s">
        <v>62</v>
      </c>
      <c r="C656" t="s">
        <v>1125</v>
      </c>
      <c r="D656" t="s">
        <v>2435</v>
      </c>
      <c r="E656" t="s">
        <v>3117</v>
      </c>
      <c r="F656" t="s">
        <v>3130</v>
      </c>
      <c r="G656" s="2" t="s">
        <v>3786</v>
      </c>
      <c r="H656">
        <v>7.035E-05</v>
      </c>
      <c r="I656">
        <v>6.3E-05</v>
      </c>
      <c r="J656">
        <v>0.00013335</v>
      </c>
    </row>
    <row r="657" spans="1:10">
      <c r="A657">
        <f>HYPERLINK("https://mega.nz/file/mNMmAYDb#qHa2AxmnZY8WGWUEyJWAIuaLyHW58jnzy5FbuC42RAg", "Enochian Magick Reference")</f>
        <v>0</v>
      </c>
      <c r="B657" t="s">
        <v>63</v>
      </c>
      <c r="C657" t="s">
        <v>1126</v>
      </c>
      <c r="D657" t="s">
        <v>2436</v>
      </c>
      <c r="E657" t="s">
        <v>3117</v>
      </c>
      <c r="F657" t="s">
        <v>3131</v>
      </c>
      <c r="G657" s="2" t="s">
        <v>3787</v>
      </c>
      <c r="H657">
        <v>6.02E-05</v>
      </c>
      <c r="I657">
        <v>4.795E-05</v>
      </c>
      <c r="J657">
        <v>0.00010815</v>
      </c>
    </row>
    <row r="658" spans="1:10">
      <c r="A658">
        <f>HYPERLINK("https://mega.nz/file/iIdl3aoD#VRXRo8-QBiR9Q5jKMd44irrZKHNZ1XEbkjz7lLIhKH8", "The Essential Skills of Magick")</f>
        <v>0</v>
      </c>
      <c r="B658" t="s">
        <v>63</v>
      </c>
      <c r="C658" t="s">
        <v>1127</v>
      </c>
      <c r="D658" t="s">
        <v>2437</v>
      </c>
      <c r="E658" t="s">
        <v>3117</v>
      </c>
      <c r="F658" t="s">
        <v>3131</v>
      </c>
      <c r="G658" s="2" t="s">
        <v>3788</v>
      </c>
      <c r="H658">
        <v>6.055E-05</v>
      </c>
      <c r="I658">
        <v>5.075E-05</v>
      </c>
      <c r="J658">
        <v>0.0001113</v>
      </c>
    </row>
    <row r="659" spans="1:10">
      <c r="A659">
        <f>HYPERLINK("https://mega.nz/file/nAc0kBxD#ne9_fXXqFqh_ZFafyaBfvAg4VqgH2P-921-niS7zruM", "Misterios De Los Mundos Olvidados")</f>
        <v>0</v>
      </c>
      <c r="B659" t="s">
        <v>64</v>
      </c>
      <c r="C659" t="s">
        <v>1128</v>
      </c>
      <c r="D659" t="s">
        <v>2438</v>
      </c>
      <c r="E659" t="s">
        <v>3117</v>
      </c>
      <c r="F659" t="s">
        <v>3130</v>
      </c>
      <c r="G659" s="2" t="s">
        <v>3789</v>
      </c>
      <c r="H659">
        <v>6.545000000000001E-05</v>
      </c>
      <c r="I659">
        <v>5.88E-05</v>
      </c>
      <c r="J659">
        <v>0.00012425</v>
      </c>
    </row>
    <row r="660" spans="1:10">
      <c r="A660">
        <f>HYPERLINK("https://mega.nz/file/mN02DCwZ#dXNdb2yG_KIxq8qjQcjIRK_lCI1bU3_IGUEoM33Bsdw", "Blavatsky y los Maestros")</f>
        <v>0</v>
      </c>
      <c r="B660" t="s">
        <v>65</v>
      </c>
      <c r="C660" t="s">
        <v>1129</v>
      </c>
      <c r="D660" t="s">
        <v>2439</v>
      </c>
      <c r="E660" t="s">
        <v>3117</v>
      </c>
      <c r="F660" t="s">
        <v>3130</v>
      </c>
      <c r="G660" s="2" t="s">
        <v>3790</v>
      </c>
      <c r="H660">
        <v>6.37E-05</v>
      </c>
      <c r="I660">
        <v>6.719999999999999E-05</v>
      </c>
      <c r="J660">
        <v>0.0001309</v>
      </c>
    </row>
    <row r="661" spans="1:10">
      <c r="A661">
        <f>HYPERLINK("https://mega.nz/file/jZlGwYxZ#NJc34AL_peteDmhMBJAdiQ82Z0yeFtPAdmpsPkXDdBE", "Estudio sobre la conciencia")</f>
        <v>0</v>
      </c>
      <c r="B661" t="s">
        <v>65</v>
      </c>
      <c r="C661" t="s">
        <v>1130</v>
      </c>
      <c r="D661" t="s">
        <v>2440</v>
      </c>
      <c r="E661" t="s">
        <v>3117</v>
      </c>
      <c r="F661" t="s">
        <v>3130</v>
      </c>
      <c r="G661" s="2" t="s">
        <v>3791</v>
      </c>
      <c r="H661">
        <v>6.02E-05</v>
      </c>
      <c r="I661">
        <v>5.775E-05</v>
      </c>
      <c r="J661">
        <v>0.00011795</v>
      </c>
    </row>
    <row r="662" spans="1:10">
      <c r="A662">
        <f>HYPERLINK("https://mega.nz/file/jdczmSya#W6kGXBpdoWVe81Sa5N-tbqCPdq53X6p9B6v6xHNvj3U", "La Evolucion de la Vida y la Forma")</f>
        <v>0</v>
      </c>
      <c r="B662" t="s">
        <v>65</v>
      </c>
      <c r="C662" t="s">
        <v>1131</v>
      </c>
      <c r="D662" t="s">
        <v>2441</v>
      </c>
      <c r="E662" t="s">
        <v>3117</v>
      </c>
      <c r="F662" t="s">
        <v>3130</v>
      </c>
      <c r="G662" s="2" t="s">
        <v>3792</v>
      </c>
      <c r="H662">
        <v>6.475E-05</v>
      </c>
      <c r="I662">
        <v>6.475E-05</v>
      </c>
      <c r="J662">
        <v>0.0001295</v>
      </c>
    </row>
    <row r="663" spans="1:10">
      <c r="A663">
        <f>HYPERLINK("https://mega.nz/file/rd1F3D5a#_ky0o1Na_U-Xs1DKb09K1CTX5HL15mBF84q5D0XSxv4", "La Fraternidad de Yucatan")</f>
        <v>0</v>
      </c>
      <c r="B663" t="s">
        <v>65</v>
      </c>
      <c r="C663" t="s">
        <v>1132</v>
      </c>
      <c r="D663" t="s">
        <v>2442</v>
      </c>
      <c r="E663" t="s">
        <v>3117</v>
      </c>
      <c r="F663" t="s">
        <v>3130</v>
      </c>
      <c r="G663" s="2" t="s">
        <v>3793</v>
      </c>
      <c r="H663">
        <v>6.160000000000001E-05</v>
      </c>
      <c r="I663">
        <v>6.09E-05</v>
      </c>
      <c r="J663">
        <v>0.0001225</v>
      </c>
    </row>
    <row r="664" spans="1:10">
      <c r="A664">
        <f>HYPERLINK("https://mega.nz/file/CcsAFLCI#z7ZyEJhMTEREOiQ4sWZ-5BBAZ9vtd_l24FKhcL7oVAY", "La sabiduria de los Upanishads")</f>
        <v>0</v>
      </c>
      <c r="B664" t="s">
        <v>65</v>
      </c>
      <c r="C664" t="s">
        <v>1133</v>
      </c>
      <c r="D664" t="s">
        <v>2443</v>
      </c>
      <c r="E664" t="s">
        <v>3117</v>
      </c>
      <c r="F664" t="s">
        <v>3130</v>
      </c>
      <c r="G664" s="2" t="s">
        <v>3794</v>
      </c>
      <c r="H664">
        <v>6.51E-05</v>
      </c>
      <c r="I664">
        <v>6.265E-05</v>
      </c>
      <c r="J664">
        <v>0.00012775</v>
      </c>
    </row>
    <row r="665" spans="1:10">
      <c r="A665">
        <f>HYPERLINK("https://mega.nz/file/LckmQRaD#JhLcfd7u5q91i568YDN1YveD06UcjE3xgk99tzpTUxQ", "Las leyes de la vida superior")</f>
        <v>0</v>
      </c>
      <c r="B665" t="s">
        <v>65</v>
      </c>
      <c r="C665" t="s">
        <v>1134</v>
      </c>
      <c r="D665" t="s">
        <v>2444</v>
      </c>
      <c r="E665" t="s">
        <v>3117</v>
      </c>
      <c r="F665" t="s">
        <v>3130</v>
      </c>
      <c r="G665" s="2" t="s">
        <v>3795</v>
      </c>
      <c r="H665">
        <v>6.160000000000001E-05</v>
      </c>
      <c r="I665">
        <v>5.95E-05</v>
      </c>
      <c r="J665">
        <v>0.0001211</v>
      </c>
    </row>
    <row r="666" spans="1:10">
      <c r="A666">
        <f>HYPERLINK("https://mega.nz/file/XF9jlb6b#IXrcXCX2fZSdd_CxLxAJxEzPrXcUQ4AleUCOIFAX_2c", "Los Misterios")</f>
        <v>0</v>
      </c>
      <c r="B666" t="s">
        <v>65</v>
      </c>
      <c r="C666" t="s">
        <v>1135</v>
      </c>
      <c r="D666" t="s">
        <v>2445</v>
      </c>
      <c r="E666" t="s">
        <v>3117</v>
      </c>
      <c r="F666" t="s">
        <v>3130</v>
      </c>
      <c r="G666" s="2" t="s">
        <v>3796</v>
      </c>
      <c r="H666">
        <v>5.88E-05</v>
      </c>
      <c r="I666">
        <v>5.705E-05</v>
      </c>
      <c r="J666">
        <v>0.00011585</v>
      </c>
    </row>
    <row r="667" spans="1:10">
      <c r="A667">
        <f>HYPERLINK("https://mega.nz/file/KIV1mDbK#3a_fvHjHDwJtW9-7BIiR38cuIRRGU9WKp9ixPCzE6zk", "Visiones de las hijas de Albion")</f>
        <v>0</v>
      </c>
      <c r="B667" t="s">
        <v>66</v>
      </c>
      <c r="C667" t="s">
        <v>1136</v>
      </c>
      <c r="D667" t="s">
        <v>2446</v>
      </c>
      <c r="E667" t="s">
        <v>3117</v>
      </c>
      <c r="F667" t="s">
        <v>3130</v>
      </c>
      <c r="G667" s="2" t="s">
        <v>3797</v>
      </c>
      <c r="H667">
        <v>6.334999999999999E-05</v>
      </c>
      <c r="I667">
        <v>6.51E-05</v>
      </c>
      <c r="J667">
        <v>0.00012845</v>
      </c>
    </row>
    <row r="668" spans="1:10">
      <c r="A668">
        <f>HYPERLINK("https://mega.nz/file/yIFUhLBS#DVLv47g_z3Af7TAEp-az-cVvT931P6t58K5ArSH3m8s", "Teosofia y Gurus")</f>
        <v>0</v>
      </c>
      <c r="B668" t="s">
        <v>67</v>
      </c>
      <c r="C668" t="s">
        <v>1137</v>
      </c>
      <c r="D668" t="s">
        <v>2447</v>
      </c>
      <c r="E668" t="s">
        <v>3117</v>
      </c>
      <c r="F668" t="s">
        <v>3130</v>
      </c>
      <c r="G668" s="2" t="s">
        <v>3798</v>
      </c>
      <c r="H668">
        <v>6.615E-05</v>
      </c>
      <c r="I668">
        <v>5.215E-05</v>
      </c>
      <c r="J668">
        <v>0.0001183</v>
      </c>
    </row>
    <row r="669" spans="1:10">
      <c r="A669">
        <f>HYPERLINK("https://mega.nz/file/jclVGSSI#WUZNcWbQCSPRVCy-7qkqp9ksYYZxGuBYc5fFlJtEObE", "Gemas de Oriente")</f>
        <v>0</v>
      </c>
      <c r="B669" t="s">
        <v>68</v>
      </c>
      <c r="C669" t="s">
        <v>1138</v>
      </c>
      <c r="D669" t="s">
        <v>2448</v>
      </c>
      <c r="E669" t="s">
        <v>3117</v>
      </c>
      <c r="F669" t="s">
        <v>3130</v>
      </c>
      <c r="G669" s="2" t="s">
        <v>3799</v>
      </c>
      <c r="H669">
        <v>6.265E-05</v>
      </c>
      <c r="I669">
        <v>6.334999999999999E-05</v>
      </c>
      <c r="J669">
        <v>0.000126</v>
      </c>
    </row>
    <row r="670" spans="1:10">
      <c r="A670">
        <f>HYPERLINK("https://mega.nz/file/TRcgiAxS#hHk17RPjuieyKnUjLeyAfASo2VlK2QKTHf6HOIBH1ko", "Los origenes del ritual")</f>
        <v>0</v>
      </c>
      <c r="B670" t="s">
        <v>68</v>
      </c>
      <c r="C670" t="s">
        <v>1139</v>
      </c>
      <c r="D670" t="s">
        <v>2449</v>
      </c>
      <c r="E670" t="s">
        <v>3117</v>
      </c>
      <c r="F670" t="s">
        <v>3130</v>
      </c>
      <c r="G670" s="2" t="s">
        <v>3800</v>
      </c>
      <c r="H670">
        <v>6.405E-05</v>
      </c>
      <c r="I670">
        <v>6.3E-05</v>
      </c>
      <c r="J670">
        <v>0.00012705</v>
      </c>
    </row>
    <row r="671" spans="1:10">
      <c r="A671">
        <f>HYPERLINK("https://mega.nz/file/bE8xAShR#g1EY01sK2imsei-Ig1kWSDn8-hpTKCTxtTuNHHa7gv0", "Narraciones ocultistas y cuentos macabros")</f>
        <v>0</v>
      </c>
      <c r="B671" t="s">
        <v>68</v>
      </c>
      <c r="C671" t="s">
        <v>1140</v>
      </c>
      <c r="D671" t="s">
        <v>2450</v>
      </c>
      <c r="E671" t="s">
        <v>3117</v>
      </c>
      <c r="F671" t="s">
        <v>3130</v>
      </c>
      <c r="G671" s="2" t="s">
        <v>3801</v>
      </c>
      <c r="H671">
        <v>6.895E-05</v>
      </c>
      <c r="I671">
        <v>6.755E-05</v>
      </c>
      <c r="J671">
        <v>0.0001365</v>
      </c>
    </row>
    <row r="672" spans="1:10">
      <c r="A672">
        <f>HYPERLINK("https://mega.nz/file/jU80xDSD#6Aq6mSqizQ_Xw2YRlbslA0CoqKmJCnYawx3f2XD775Y", "Por las grutas y selvas del Indostan")</f>
        <v>0</v>
      </c>
      <c r="B672" t="s">
        <v>68</v>
      </c>
      <c r="C672" t="s">
        <v>1141</v>
      </c>
      <c r="D672" t="s">
        <v>2451</v>
      </c>
      <c r="E672" t="s">
        <v>3117</v>
      </c>
      <c r="F672" t="s">
        <v>3130</v>
      </c>
      <c r="G672" s="2" t="s">
        <v>3802</v>
      </c>
      <c r="H672">
        <v>6.999999999999999E-05</v>
      </c>
      <c r="I672">
        <v>6.37E-05</v>
      </c>
      <c r="J672">
        <v>0.0001337</v>
      </c>
    </row>
    <row r="673" spans="1:10">
      <c r="A673">
        <f>HYPERLINK("https://mega.nz/file/yBUAHa4S#hgNIdgjxZ2zxWuOBl3p-2WWXGJOspvzvhe1SGdM4BEQ", "Ocultismo Practico")</f>
        <v>0</v>
      </c>
      <c r="B673" t="s">
        <v>69</v>
      </c>
      <c r="C673" t="s">
        <v>1142</v>
      </c>
      <c r="D673" t="s">
        <v>2452</v>
      </c>
      <c r="E673" t="s">
        <v>3117</v>
      </c>
      <c r="F673" t="s">
        <v>3131</v>
      </c>
      <c r="G673" s="2" t="s">
        <v>3803</v>
      </c>
      <c r="H673">
        <v>6.265E-05</v>
      </c>
      <c r="I673">
        <v>5.145E-05</v>
      </c>
      <c r="J673">
        <v>0.0001141</v>
      </c>
    </row>
    <row r="674" spans="1:10">
      <c r="A674">
        <f>HYPERLINK("https://mega.nz/file/fRlQVDJJ#M7xDTxzkLFzyX6JuQ4gz3oRXHOAnIEvJRZzYicMYxvk", "Estudios ocultistas")</f>
        <v>0</v>
      </c>
      <c r="B674" t="s">
        <v>70</v>
      </c>
      <c r="C674" t="s">
        <v>1143</v>
      </c>
      <c r="D674" t="s">
        <v>2453</v>
      </c>
      <c r="E674" t="s">
        <v>3117</v>
      </c>
      <c r="F674" t="s">
        <v>3131</v>
      </c>
      <c r="G674" s="2" t="s">
        <v>3804</v>
      </c>
      <c r="H674">
        <v>6.3E-05</v>
      </c>
      <c r="I674">
        <v>6.02E-05</v>
      </c>
      <c r="J674">
        <v>0.0001232</v>
      </c>
    </row>
    <row r="675" spans="1:10">
      <c r="A675">
        <f>HYPERLINK("https://mega.nz/file/rMdhCA4B#Dkmyw-Swe4Mr8bQ3mQMlQlj7Qo7ostFVxfbZ4H5tXKk", "La Voz del Silencio")</f>
        <v>0</v>
      </c>
      <c r="B675" t="s">
        <v>70</v>
      </c>
      <c r="C675" t="s">
        <v>1144</v>
      </c>
      <c r="D675" t="s">
        <v>2454</v>
      </c>
      <c r="E675" t="s">
        <v>3117</v>
      </c>
      <c r="F675" t="s">
        <v>3130</v>
      </c>
      <c r="G675" s="2" t="s">
        <v>3805</v>
      </c>
      <c r="H675">
        <v>6.37E-05</v>
      </c>
      <c r="I675">
        <v>6.160000000000001E-05</v>
      </c>
      <c r="J675">
        <v>0.0001253</v>
      </c>
    </row>
    <row r="676" spans="1:10">
      <c r="A676">
        <f>HYPERLINK("https://mega.nz/file/vAM0kKhC#h303rCc8SRhcz9fuKHGnMMfKPC0a00-To51ReOzqDz8", "magia experimental manual practico")</f>
        <v>0</v>
      </c>
      <c r="B676" t="s">
        <v>71</v>
      </c>
      <c r="C676" t="s">
        <v>1145</v>
      </c>
      <c r="D676" t="s">
        <v>2455</v>
      </c>
      <c r="E676" t="s">
        <v>3117</v>
      </c>
      <c r="F676" t="s">
        <v>3130</v>
      </c>
      <c r="G676" s="2" t="s">
        <v>3806</v>
      </c>
      <c r="H676">
        <v>6.23E-05</v>
      </c>
      <c r="I676">
        <v>5.985E-05</v>
      </c>
      <c r="J676">
        <v>0.00012215</v>
      </c>
    </row>
    <row r="677" spans="1:10">
      <c r="A677">
        <f>HYPERLINK("https://mega.nz/file/LAsjBDbI#iETS9OvYFr4ur-CXkT7dGfnSDTkFkM0L-RZMUOteH4Q", "History of Western Magic")</f>
        <v>0</v>
      </c>
      <c r="B677" t="s">
        <v>72</v>
      </c>
      <c r="C677" t="s">
        <v>1146</v>
      </c>
      <c r="D677" t="s">
        <v>2456</v>
      </c>
      <c r="E677" t="s">
        <v>3117</v>
      </c>
      <c r="F677" t="s">
        <v>3131</v>
      </c>
      <c r="G677" s="2" t="s">
        <v>3807</v>
      </c>
      <c r="H677">
        <v>6.58E-05</v>
      </c>
      <c r="I677">
        <v>5.67E-05</v>
      </c>
      <c r="J677">
        <v>0.0001225</v>
      </c>
    </row>
    <row r="678" spans="1:10">
      <c r="A678">
        <f>HYPERLINK("https://mega.nz/file/mUdRTKYL#NmcQb-FTlfU1BBQTd-kpbenp3wofubwvaMq5zuwppg0", "The Geostrategic Triad - Living with China, Europe and Russia")</f>
        <v>0</v>
      </c>
      <c r="B678" t="s">
        <v>73</v>
      </c>
      <c r="C678" t="s">
        <v>1147</v>
      </c>
      <c r="D678" t="s">
        <v>2457</v>
      </c>
      <c r="E678" t="s">
        <v>3117</v>
      </c>
      <c r="F678" t="s">
        <v>3131</v>
      </c>
      <c r="G678" s="2" t="s">
        <v>3808</v>
      </c>
      <c r="H678">
        <v>7.279999999999999E-05</v>
      </c>
      <c r="I678">
        <v>5.285E-05</v>
      </c>
      <c r="J678">
        <v>0.00012565</v>
      </c>
    </row>
    <row r="679" spans="1:10">
      <c r="A679">
        <f>HYPERLINK("https://mega.nz/file/6dkkXITI#8Y2ymMFveaMz5QlrtU6Rh-kwa-wYzIcrZvdj6M6zz-E", "The Grand Chessboard - American Primacy and Its Geostrategic Imperatives")</f>
        <v>0</v>
      </c>
      <c r="B679" t="s">
        <v>73</v>
      </c>
      <c r="C679" t="s">
        <v>1148</v>
      </c>
      <c r="D679" t="s">
        <v>2458</v>
      </c>
      <c r="E679" t="s">
        <v>3117</v>
      </c>
      <c r="F679" t="s">
        <v>3131</v>
      </c>
      <c r="G679" s="2" t="s">
        <v>3809</v>
      </c>
      <c r="H679">
        <v>7.385000000000001E-05</v>
      </c>
      <c r="I679">
        <v>6.02E-05</v>
      </c>
      <c r="J679">
        <v>0.00013405</v>
      </c>
    </row>
    <row r="680" spans="1:10">
      <c r="A680">
        <f>HYPERLINK("https://mega.nz/file/CZ1RWBzI#5WREO2KkqiFfdnSyKzUd7vEyzQ83kvyRjRX_72dfbmw", "ud y el tarot")</f>
        <v>0</v>
      </c>
      <c r="B680" t="s">
        <v>74</v>
      </c>
      <c r="C680" t="s">
        <v>1149</v>
      </c>
      <c r="D680" t="s">
        <v>2459</v>
      </c>
      <c r="E680" t="s">
        <v>1188</v>
      </c>
      <c r="F680" t="s">
        <v>3130</v>
      </c>
      <c r="G680" s="2" t="s">
        <v>3810</v>
      </c>
      <c r="H680">
        <v>6.160000000000001E-05</v>
      </c>
      <c r="I680">
        <v>6.3E-05</v>
      </c>
      <c r="J680">
        <v>0.0001246</v>
      </c>
    </row>
    <row r="681" spans="1:10">
      <c r="A681">
        <f>HYPERLINK("https://mega.nz/file/LQFhXCLA#oQyMlZWHFAXcolNuAvA5mxqQXUTRb3jVE1G9xMKf8Vg", "El Sutra del Corazón")</f>
        <v>0</v>
      </c>
      <c r="B681" t="s">
        <v>75</v>
      </c>
      <c r="C681" t="s">
        <v>1150</v>
      </c>
      <c r="D681" t="s">
        <v>2460</v>
      </c>
      <c r="E681" t="s">
        <v>3117</v>
      </c>
      <c r="F681" t="s">
        <v>3130</v>
      </c>
      <c r="G681" s="2" t="s">
        <v>3811</v>
      </c>
      <c r="H681">
        <v>6.09E-05</v>
      </c>
      <c r="I681">
        <v>6.125E-05</v>
      </c>
      <c r="J681">
        <v>0.00012215</v>
      </c>
    </row>
    <row r="682" spans="1:10">
      <c r="A682">
        <f>HYPERLINK("https://mega.nz/file/WA0EhQAR#ygo8B0Yox2twmzpM-7mTpeMZ7rmIyt93diTyz-yyRY0", "El Sutra del Diamante")</f>
        <v>0</v>
      </c>
      <c r="B682" t="s">
        <v>75</v>
      </c>
      <c r="C682" t="s">
        <v>1151</v>
      </c>
      <c r="D682" t="s">
        <v>2461</v>
      </c>
      <c r="E682" t="s">
        <v>3117</v>
      </c>
      <c r="F682" t="s">
        <v>3130</v>
      </c>
      <c r="G682" s="2" t="s">
        <v>3812</v>
      </c>
      <c r="H682">
        <v>6.055E-05</v>
      </c>
      <c r="I682">
        <v>6.125E-05</v>
      </c>
      <c r="J682">
        <v>0.0001218</v>
      </c>
    </row>
    <row r="683" spans="1:10">
      <c r="A683">
        <f>HYPERLINK("https://mega.nz/file/6d81BRTZ#zODvwRj_Ic9WrbXbftEza7K_jzqzrRYsiQvzCBL-azU", "Magia Egipcia")</f>
        <v>0</v>
      </c>
      <c r="B683" t="s">
        <v>76</v>
      </c>
      <c r="C683" t="s">
        <v>1152</v>
      </c>
      <c r="D683" t="s">
        <v>2462</v>
      </c>
      <c r="E683" t="s">
        <v>3117</v>
      </c>
      <c r="F683" t="s">
        <v>3130</v>
      </c>
      <c r="G683" s="2" t="s">
        <v>3813</v>
      </c>
      <c r="H683">
        <v>6.23E-05</v>
      </c>
      <c r="I683">
        <v>6.23E-05</v>
      </c>
      <c r="J683">
        <v>0.0001246</v>
      </c>
    </row>
    <row r="684" spans="1:10">
      <c r="A684">
        <f>HYPERLINK("https://mega.nz/file/LFtC3RoJ#vsDinoJuB1tpxLOVOp-5ENPWyBYaYMChK23MijwVTTs", "Angeles Demonios Magos y Teologia Catolica")</f>
        <v>0</v>
      </c>
      <c r="B684" t="s">
        <v>77</v>
      </c>
      <c r="C684" t="s">
        <v>1153</v>
      </c>
      <c r="D684" t="s">
        <v>2463</v>
      </c>
      <c r="E684" t="s">
        <v>3127</v>
      </c>
      <c r="F684" t="s">
        <v>3130</v>
      </c>
      <c r="G684" s="2" t="s">
        <v>3814</v>
      </c>
      <c r="H684">
        <v>7.07E-05</v>
      </c>
      <c r="I684">
        <v>6.58E-05</v>
      </c>
      <c r="J684">
        <v>0.0001365</v>
      </c>
    </row>
    <row r="685" spans="1:10">
      <c r="A685">
        <f>HYPERLINK("https://mega.nz/file/PclmmAaJ#j7F7NcFFN4k9-xbKuXBHoeeXJ-GioPp81G7ZVp88vuA", "Cultos Mistericos Antiguos")</f>
        <v>0</v>
      </c>
      <c r="B685" t="s">
        <v>78</v>
      </c>
      <c r="C685" t="s">
        <v>1154</v>
      </c>
      <c r="D685" t="s">
        <v>2464</v>
      </c>
      <c r="E685" t="s">
        <v>3117</v>
      </c>
      <c r="F685" t="s">
        <v>3131</v>
      </c>
      <c r="G685" s="2" t="s">
        <v>3815</v>
      </c>
      <c r="H685">
        <v>6.545000000000001E-05</v>
      </c>
      <c r="I685">
        <v>5.705E-05</v>
      </c>
      <c r="J685">
        <v>0.0001225</v>
      </c>
    </row>
    <row r="686" spans="1:10">
      <c r="A686">
        <f>HYPERLINK("https://mega.nz/file/Dc9yBIJD#Mn8KQdibj5u-9xwABmv439dLrjwQZLhCDpI--at2BIs", "De Homero a Los Magos")</f>
        <v>0</v>
      </c>
      <c r="B686" t="s">
        <v>78</v>
      </c>
      <c r="C686" t="s">
        <v>1155</v>
      </c>
      <c r="D686" t="s">
        <v>2465</v>
      </c>
      <c r="E686" t="s">
        <v>3117</v>
      </c>
      <c r="F686" t="s">
        <v>3130</v>
      </c>
      <c r="G686" s="2" t="s">
        <v>3816</v>
      </c>
      <c r="H686">
        <v>6.439999999999999E-05</v>
      </c>
      <c r="I686">
        <v>5.005E-05</v>
      </c>
      <c r="J686">
        <v>0.00011445</v>
      </c>
    </row>
    <row r="687" spans="1:10">
      <c r="A687">
        <f>HYPERLINK("https://mega.nz/file/uIUBhSTC#JJgBiN3CZtNftqs_pY8-LNIqdolsuQYfW-FfQ_ClcuY", "De Homero a los Magos")</f>
        <v>0</v>
      </c>
      <c r="B687" t="s">
        <v>78</v>
      </c>
      <c r="C687" t="s">
        <v>1156</v>
      </c>
      <c r="D687" t="s">
        <v>2466</v>
      </c>
      <c r="E687" t="s">
        <v>3117</v>
      </c>
      <c r="F687" t="s">
        <v>3130</v>
      </c>
      <c r="G687" s="2" t="s">
        <v>3817</v>
      </c>
      <c r="H687">
        <v>6.51E-05</v>
      </c>
      <c r="I687">
        <v>6.685E-05</v>
      </c>
      <c r="J687">
        <v>0.00013195</v>
      </c>
    </row>
    <row r="688" spans="1:10">
      <c r="A688">
        <f>HYPERLINK("https://mega.nz/file/3YMylJLL#O9S7zAHH-F_pr91DHEstZRol9RXCyXgBzLyaMBYFS5Q", "Magic Its Ritual Power And Purpose")</f>
        <v>0</v>
      </c>
      <c r="B688" t="s">
        <v>79</v>
      </c>
      <c r="C688" t="s">
        <v>1157</v>
      </c>
      <c r="D688" t="s">
        <v>2467</v>
      </c>
      <c r="E688" t="s">
        <v>3117</v>
      </c>
      <c r="F688" t="s">
        <v>3131</v>
      </c>
      <c r="G688" s="2" t="s">
        <v>3818</v>
      </c>
      <c r="H688">
        <v>5.985E-05</v>
      </c>
      <c r="I688">
        <v>5.25E-05</v>
      </c>
      <c r="J688">
        <v>0.00011235</v>
      </c>
    </row>
    <row r="689" spans="1:10">
      <c r="A689">
        <f>HYPERLINK("https://mega.nz/file/vBcn0D4D#LwoKPWyqPUoBq4DZbOuVrhAjXS_k2V0w7IblVHsovSQ", "El Grial Secreto De Los Merovingios")</f>
        <v>0</v>
      </c>
      <c r="B689" t="s">
        <v>80</v>
      </c>
      <c r="C689" t="s">
        <v>1158</v>
      </c>
      <c r="D689" t="s">
        <v>2468</v>
      </c>
      <c r="E689" t="s">
        <v>3117</v>
      </c>
      <c r="F689" t="s">
        <v>3130</v>
      </c>
      <c r="G689" s="2" t="s">
        <v>3819</v>
      </c>
      <c r="H689">
        <v>6.685E-05</v>
      </c>
      <c r="I689">
        <v>6.755E-05</v>
      </c>
      <c r="J689">
        <v>0.0001344</v>
      </c>
    </row>
    <row r="690" spans="1:10">
      <c r="A690">
        <f>HYPERLINK("https://mega.nz/file/mNMFUSrZ#BaBMLGxbE0X7bYFIycy5HzILQXGqWnDoF3L33QvR9sc", "20 Grandes Conspiraciones De La Historia")</f>
        <v>0</v>
      </c>
      <c r="B690" t="s">
        <v>81</v>
      </c>
      <c r="C690" t="s">
        <v>1159</v>
      </c>
      <c r="D690" t="s">
        <v>2469</v>
      </c>
      <c r="E690" t="s">
        <v>3117</v>
      </c>
      <c r="F690" t="s">
        <v>3130</v>
      </c>
      <c r="G690" s="2" t="s">
        <v>3820</v>
      </c>
      <c r="H690">
        <v>6.51E-05</v>
      </c>
      <c r="I690">
        <v>6.545000000000001E-05</v>
      </c>
      <c r="J690">
        <v>0.00013055</v>
      </c>
    </row>
    <row r="691" spans="1:10">
      <c r="A691">
        <f>HYPERLINK("https://mega.nz/file/DF8EQZLQ#Mmz9_6ZyVMSuCju6BvH1bSFwZpH2Ct7eD_kAfO40_qw", "Los Padres de la Iglesia I Padres Griegos")</f>
        <v>0</v>
      </c>
      <c r="B691" t="s">
        <v>82</v>
      </c>
      <c r="C691" t="s">
        <v>1160</v>
      </c>
      <c r="D691" t="s">
        <v>2470</v>
      </c>
      <c r="E691" t="s">
        <v>3117</v>
      </c>
      <c r="F691" t="s">
        <v>3130</v>
      </c>
      <c r="G691" s="2" t="s">
        <v>3821</v>
      </c>
      <c r="H691">
        <v>7.91E-05</v>
      </c>
      <c r="I691">
        <v>6.160000000000001E-05</v>
      </c>
      <c r="J691">
        <v>0.0001407</v>
      </c>
    </row>
    <row r="692" spans="1:10">
      <c r="A692">
        <f>HYPERLINK("https://mega.nz/file/iJFCHIyA#d_LfjXNpjNBbktlvjml61V_Naf17E9RiK_OBsIJtmic", "El Misterio De Los Vampiros Bakaladeros")</f>
        <v>0</v>
      </c>
      <c r="B692" t="s">
        <v>83</v>
      </c>
      <c r="C692" t="s">
        <v>1161</v>
      </c>
      <c r="D692" t="s">
        <v>2471</v>
      </c>
      <c r="E692" t="s">
        <v>3117</v>
      </c>
      <c r="F692" t="s">
        <v>3130</v>
      </c>
      <c r="G692" s="2" t="s">
        <v>3822</v>
      </c>
      <c r="H692">
        <v>7.035E-05</v>
      </c>
      <c r="I692">
        <v>6.475E-05</v>
      </c>
      <c r="J692">
        <v>0.0001351</v>
      </c>
    </row>
    <row r="693" spans="1:10">
      <c r="A693">
        <f>HYPERLINK("https://mega.nz/file/PNt0QbAT#CRcFnToANKYhvakwTCmuLlUtvGGvdMd4m2Xk9AvRESE", "La alquimia explicada")</f>
        <v>0</v>
      </c>
      <c r="B693" t="s">
        <v>84</v>
      </c>
      <c r="C693" t="s">
        <v>1162</v>
      </c>
      <c r="D693" t="s">
        <v>2472</v>
      </c>
      <c r="E693" t="s">
        <v>1584</v>
      </c>
      <c r="F693" t="s">
        <v>3130</v>
      </c>
      <c r="G693" s="2" t="s">
        <v>3823</v>
      </c>
      <c r="H693">
        <v>6.265E-05</v>
      </c>
      <c r="I693">
        <v>6.405E-05</v>
      </c>
      <c r="J693">
        <v>0.0001267</v>
      </c>
    </row>
    <row r="694" spans="1:10">
      <c r="A694">
        <f>HYPERLINK("https://mega.nz/file/SccByDwR#XBv4GnPnCX5RZqbPw6o2jMM0MZKJnk6tPtIwuk-qAoo", "La Ciencia Frente Al Misterio")</f>
        <v>0</v>
      </c>
      <c r="B694" t="s">
        <v>85</v>
      </c>
      <c r="C694" t="s">
        <v>1163</v>
      </c>
      <c r="D694" t="s">
        <v>2473</v>
      </c>
      <c r="E694" t="s">
        <v>3117</v>
      </c>
      <c r="F694" t="s">
        <v>3130</v>
      </c>
      <c r="G694" s="2" t="s">
        <v>3824</v>
      </c>
      <c r="H694">
        <v>6.265E-05</v>
      </c>
      <c r="I694">
        <v>6.405E-05</v>
      </c>
      <c r="J694">
        <v>0.0001267</v>
      </c>
    </row>
    <row r="695" spans="1:10">
      <c r="A695">
        <f>HYPERLINK("https://mega.nz/file/HJFwkbwK#hpmJxm948NrDqh6LQ4crJD_qkc7gxc5Ocnyn5rYQjHo", "El Misterio De La La Masoneria")</f>
        <v>0</v>
      </c>
      <c r="B695" t="s">
        <v>86</v>
      </c>
      <c r="C695" t="s">
        <v>1164</v>
      </c>
      <c r="D695" t="s">
        <v>2474</v>
      </c>
      <c r="E695" t="s">
        <v>3120</v>
      </c>
      <c r="F695" t="s">
        <v>3130</v>
      </c>
      <c r="G695" s="2" t="s">
        <v>3825</v>
      </c>
      <c r="H695">
        <v>6.439999999999999E-05</v>
      </c>
      <c r="I695">
        <v>5.565E-05</v>
      </c>
      <c r="J695">
        <v>0.00012005</v>
      </c>
    </row>
    <row r="696" spans="1:10">
      <c r="A696">
        <f>HYPERLINK("https://mega.nz/file/vB9XmJ7R#_Mq5j8EwMsav_PpV5v-YjjO8xXA47GnPnNqfA7mW8as", "Aliens En Palestina")</f>
        <v>0</v>
      </c>
      <c r="B696" t="s">
        <v>87</v>
      </c>
      <c r="C696" t="s">
        <v>1165</v>
      </c>
      <c r="D696" t="s">
        <v>2475</v>
      </c>
      <c r="E696" t="s">
        <v>3117</v>
      </c>
      <c r="F696" t="s">
        <v>3130</v>
      </c>
      <c r="G696" s="2" t="s">
        <v>3826</v>
      </c>
      <c r="H696">
        <v>5.915E-05</v>
      </c>
      <c r="I696">
        <v>6.02E-05</v>
      </c>
      <c r="J696">
        <v>0.00011935</v>
      </c>
    </row>
    <row r="697" spans="1:10">
      <c r="A697">
        <f>HYPERLINK("https://mega.nz/file/bN9S1RBC#RG-P-PBaAQZWZFVNnH9eMASaBLTIHffWsdx-SbhSB9g", "Liber Kaos")</f>
        <v>0</v>
      </c>
      <c r="B697" t="s">
        <v>88</v>
      </c>
      <c r="C697" t="s">
        <v>1166</v>
      </c>
      <c r="D697" t="s">
        <v>2476</v>
      </c>
      <c r="E697" t="s">
        <v>3125</v>
      </c>
      <c r="F697" t="s">
        <v>3131</v>
      </c>
      <c r="G697" s="2" t="s">
        <v>3827</v>
      </c>
      <c r="H697">
        <v>5.67E-05</v>
      </c>
      <c r="I697">
        <v>5.565E-05</v>
      </c>
      <c r="J697">
        <v>0.00011235</v>
      </c>
    </row>
    <row r="698" spans="1:10">
      <c r="A698">
        <f>HYPERLINK("https://mega.nz/file/LBUhFQKB#BnPhRwHl61azIG8kxWqlnJryKvsU6YmpIp-UUzN40sU", "Chaoism and Chaos Magic")</f>
        <v>0</v>
      </c>
      <c r="B698" t="s">
        <v>89</v>
      </c>
      <c r="C698" t="s">
        <v>1167</v>
      </c>
      <c r="D698" t="s">
        <v>2477</v>
      </c>
      <c r="E698" t="s">
        <v>3125</v>
      </c>
      <c r="F698" t="s">
        <v>3131</v>
      </c>
      <c r="G698" s="2" t="s">
        <v>3828</v>
      </c>
      <c r="H698">
        <v>6.125E-05</v>
      </c>
      <c r="I698">
        <v>5.81E-05</v>
      </c>
      <c r="J698">
        <v>0.00011935</v>
      </c>
    </row>
    <row r="699" spans="1:10">
      <c r="A699">
        <f>HYPERLINK("https://mega.nz/file/fEFzhQRC#niJJUphypZuKn04_UTDLeVzI4rmHwKRu6HzjQ70KetM", "Liber MMM")</f>
        <v>0</v>
      </c>
      <c r="B699" t="s">
        <v>89</v>
      </c>
      <c r="C699" t="s">
        <v>1168</v>
      </c>
      <c r="D699" t="s">
        <v>2478</v>
      </c>
      <c r="E699" t="s">
        <v>3117</v>
      </c>
      <c r="F699" t="s">
        <v>3131</v>
      </c>
      <c r="G699" s="2" t="s">
        <v>3829</v>
      </c>
      <c r="H699">
        <v>5.74E-05</v>
      </c>
      <c r="I699">
        <v>5.18E-05</v>
      </c>
      <c r="J699">
        <v>0.0001092</v>
      </c>
    </row>
    <row r="700" spans="1:10">
      <c r="A700">
        <f>HYPERLINK("https://mega.nz/file/KB03jSqS#68xVuZ6649HAQC9YTN9ZbrhK8hVu1kHI2J7q1St5Bqs", "LiberNull")</f>
        <v>0</v>
      </c>
      <c r="B700" t="s">
        <v>90</v>
      </c>
      <c r="C700" t="s">
        <v>1169</v>
      </c>
      <c r="D700" t="s">
        <v>2479</v>
      </c>
      <c r="E700" t="s">
        <v>3117</v>
      </c>
      <c r="F700" t="s">
        <v>3131</v>
      </c>
      <c r="G700" s="2" t="s">
        <v>3830</v>
      </c>
      <c r="H700">
        <v>5.74E-05</v>
      </c>
      <c r="I700">
        <v>4.9E-05</v>
      </c>
      <c r="J700">
        <v>0.0001064</v>
      </c>
    </row>
    <row r="701" spans="1:10">
      <c r="A701">
        <f>HYPERLINK("https://mega.nz/file/CddQSDyA#9A-gEpNdRrpYKAzc1vAbz0zEY8K9IzevQtekqPQ3Lfs", "Mas Alla Del Codigo Da Vinci")</f>
        <v>0</v>
      </c>
      <c r="B701" t="s">
        <v>91</v>
      </c>
      <c r="C701" t="s">
        <v>1170</v>
      </c>
      <c r="D701" t="s">
        <v>2480</v>
      </c>
      <c r="E701" t="s">
        <v>3117</v>
      </c>
      <c r="F701" t="s">
        <v>3130</v>
      </c>
      <c r="G701" s="2" t="s">
        <v>3831</v>
      </c>
      <c r="H701">
        <v>6.265E-05</v>
      </c>
      <c r="I701">
        <v>6.965E-05</v>
      </c>
      <c r="J701">
        <v>0.0001323</v>
      </c>
    </row>
    <row r="702" spans="1:10">
      <c r="A702">
        <f>HYPERLINK("https://mega.nz/file/iJF3iJBC#QYYUZ01PH5jXTN0F46Rm4bVROpHaQQ3K_Xffxvm8RQQ", "Seven Scrolls")</f>
        <v>0</v>
      </c>
      <c r="B702" t="s">
        <v>92</v>
      </c>
      <c r="C702" t="s">
        <v>1171</v>
      </c>
      <c r="D702" t="s">
        <v>2481</v>
      </c>
      <c r="E702" t="s">
        <v>3117</v>
      </c>
      <c r="F702" t="s">
        <v>3131</v>
      </c>
      <c r="G702" s="2" t="s">
        <v>3832</v>
      </c>
      <c r="H702">
        <v>5.95E-05</v>
      </c>
      <c r="I702">
        <v>5.25E-05</v>
      </c>
      <c r="J702">
        <v>0.000112</v>
      </c>
    </row>
    <row r="703" spans="1:10">
      <c r="A703">
        <f>HYPERLINK("https://mega.nz/file/aNlinZLD#-T0WWkWN-xbKNzjdOz7opVoNb8TtS98pyhpMv_IZigc", "Black Book Omega")</f>
        <v>0</v>
      </c>
      <c r="B703" t="s">
        <v>93</v>
      </c>
      <c r="C703" t="s">
        <v>1172</v>
      </c>
      <c r="D703" t="s">
        <v>2482</v>
      </c>
      <c r="E703" t="s">
        <v>3117</v>
      </c>
      <c r="F703" t="s">
        <v>3131</v>
      </c>
      <c r="G703" s="2" t="s">
        <v>3833</v>
      </c>
      <c r="H703">
        <v>5.74E-05</v>
      </c>
      <c r="I703">
        <v>5.46E-05</v>
      </c>
      <c r="J703">
        <v>0.000112</v>
      </c>
    </row>
    <row r="704" spans="1:10">
      <c r="A704">
        <f>HYPERLINK("https://mega.nz/file/vY0AEILS#_VzPnULlBNnW4TSHezDYahi41cAeMNPyCUvF0FP2__8", "Sobre la adivinacion Sobre el destino Timeo")</f>
        <v>0</v>
      </c>
      <c r="B704" t="s">
        <v>94</v>
      </c>
      <c r="C704" t="s">
        <v>1173</v>
      </c>
      <c r="D704" t="s">
        <v>2483</v>
      </c>
      <c r="E704" t="s">
        <v>3117</v>
      </c>
      <c r="F704" t="s">
        <v>3130</v>
      </c>
      <c r="G704" s="2" t="s">
        <v>3834</v>
      </c>
      <c r="H704">
        <v>6.685E-05</v>
      </c>
      <c r="I704">
        <v>5.495E-05</v>
      </c>
      <c r="J704">
        <v>0.0001218</v>
      </c>
    </row>
    <row r="705" spans="1:10">
      <c r="A705">
        <f>HYPERLINK("https://mega.nz/file/CY1WgRzB#qu5-9L42jbQTqy5SHvvNLC2On90uchC9C4vpXCAViJY", "Diccionario de Simbolos")</f>
        <v>0</v>
      </c>
      <c r="B705" t="s">
        <v>95</v>
      </c>
      <c r="C705" t="s">
        <v>1174</v>
      </c>
      <c r="D705" t="s">
        <v>2484</v>
      </c>
      <c r="E705" t="s">
        <v>3117</v>
      </c>
      <c r="F705" t="s">
        <v>3130</v>
      </c>
      <c r="G705" s="2" t="s">
        <v>3835</v>
      </c>
      <c r="H705">
        <v>6.439999999999999E-05</v>
      </c>
      <c r="I705">
        <v>5.845E-05</v>
      </c>
      <c r="J705">
        <v>0.00012285</v>
      </c>
    </row>
    <row r="706" spans="1:10">
      <c r="A706">
        <f>HYPERLINK("https://mega.nz/file/iYMGXJRT#q83tBmE_WI4Kie_lDhjSZtnvmdoLG136XQ38IvXzZY8", "The Book of Ancient Formulas")</f>
        <v>0</v>
      </c>
      <c r="B706" t="s">
        <v>96</v>
      </c>
      <c r="C706" t="s">
        <v>1175</v>
      </c>
      <c r="D706" t="s">
        <v>2485</v>
      </c>
      <c r="E706" t="s">
        <v>3117</v>
      </c>
      <c r="F706" t="s">
        <v>3131</v>
      </c>
      <c r="G706" s="2" t="s">
        <v>3836</v>
      </c>
      <c r="H706">
        <v>6.055E-05</v>
      </c>
      <c r="I706">
        <v>5.145E-05</v>
      </c>
      <c r="J706">
        <v>0.000112</v>
      </c>
    </row>
    <row r="707" spans="1:10">
      <c r="A707">
        <f>HYPERLINK("https://mega.nz/file/XBN2QZDJ#10pyeIq_CncVYzAEMs2U821HA3DXQy9JifSEvsdJ2Qs", "Articulos Selectos Metafisica")</f>
        <v>0</v>
      </c>
      <c r="B707" t="s">
        <v>97</v>
      </c>
      <c r="C707" t="s">
        <v>1176</v>
      </c>
      <c r="D707" t="s">
        <v>2486</v>
      </c>
      <c r="E707" t="s">
        <v>3117</v>
      </c>
      <c r="F707" t="s">
        <v>3131</v>
      </c>
      <c r="G707" s="2" t="s">
        <v>3837</v>
      </c>
      <c r="H707">
        <v>6.79E-05</v>
      </c>
      <c r="I707">
        <v>5.53E-05</v>
      </c>
      <c r="J707">
        <v>0.0001232</v>
      </c>
    </row>
    <row r="708" spans="1:10">
      <c r="A708">
        <f>HYPERLINK("https://mega.nz/file/KIsi0QKC#doEIc3s59CpzOgAOOtWjs3Ehbjc6YaNjjBSu9uUA7bk", "Mitos y Leyendas Hindues y Budistas")</f>
        <v>0</v>
      </c>
      <c r="B708" t="s">
        <v>98</v>
      </c>
      <c r="C708" t="s">
        <v>1177</v>
      </c>
      <c r="D708" t="s">
        <v>2487</v>
      </c>
      <c r="E708" t="s">
        <v>3119</v>
      </c>
      <c r="F708" t="s">
        <v>3130</v>
      </c>
      <c r="G708" s="2" t="s">
        <v>3838</v>
      </c>
      <c r="H708">
        <v>6.999999999999999E-05</v>
      </c>
      <c r="I708">
        <v>7.14E-05</v>
      </c>
      <c r="J708">
        <v>0.0001414</v>
      </c>
    </row>
    <row r="709" spans="1:10">
      <c r="A709">
        <f>HYPERLINK("https://mega.nz/file/nUsGiD4J#VJEG9l_IfPh55xP9vzOnE1XonhH1e5u__MPvkz6tXGc", "Los Maestros de La Gran Logia Blanca")</f>
        <v>0</v>
      </c>
      <c r="B709" t="s">
        <v>99</v>
      </c>
      <c r="C709" t="s">
        <v>1178</v>
      </c>
      <c r="D709" t="s">
        <v>2488</v>
      </c>
      <c r="E709" t="s">
        <v>3117</v>
      </c>
      <c r="F709" t="s">
        <v>3130</v>
      </c>
      <c r="G709" s="2" t="s">
        <v>3839</v>
      </c>
      <c r="H709">
        <v>6.79E-05</v>
      </c>
      <c r="I709">
        <v>5.985E-05</v>
      </c>
      <c r="J709">
        <v>0.00012775</v>
      </c>
    </row>
    <row r="710" spans="1:10">
      <c r="A710">
        <f>HYPERLINK("https://mega.nz/file/7Ak2mbqa#W_u25oYM4QqFlmGKOrVEsqPugFgcL9-x8iCkjVgBYOk", "Vuelve La Atlantida")</f>
        <v>0</v>
      </c>
      <c r="B710" t="s">
        <v>100</v>
      </c>
      <c r="C710" t="s">
        <v>1179</v>
      </c>
      <c r="D710" t="s">
        <v>2489</v>
      </c>
      <c r="E710" t="s">
        <v>3117</v>
      </c>
      <c r="F710" t="s">
        <v>3130</v>
      </c>
      <c r="G710" s="2" t="s">
        <v>3840</v>
      </c>
      <c r="H710">
        <v>6.160000000000001E-05</v>
      </c>
      <c r="I710">
        <v>5.88E-05</v>
      </c>
      <c r="J710">
        <v>0.0001204</v>
      </c>
    </row>
    <row r="711" spans="1:10">
      <c r="A711">
        <f>HYPERLINK("https://mega.nz/file/bMsWVYCD#Cr2QyHaWk963rV8jBgHJfNT3e90boxziqSBTNg4EGUc", "Gematria Dogma Kabalistico")</f>
        <v>0</v>
      </c>
      <c r="B711" t="s">
        <v>101</v>
      </c>
      <c r="C711" t="s">
        <v>1180</v>
      </c>
      <c r="D711" t="s">
        <v>2490</v>
      </c>
      <c r="E711" t="s">
        <v>3117</v>
      </c>
      <c r="F711" t="s">
        <v>3131</v>
      </c>
      <c r="G711" s="2" t="s">
        <v>3841</v>
      </c>
      <c r="H711">
        <v>6.475E-05</v>
      </c>
      <c r="I711">
        <v>5.425E-05</v>
      </c>
      <c r="J711">
        <v>0.000119</v>
      </c>
    </row>
    <row r="712" spans="1:10">
      <c r="A712">
        <f>HYPERLINK("https://mega.nz/file/OBc0AbII#MsNiu-piEmGpw0L_bP0CDbrGCf1Q_sSG1Bc56gm7xKU", "Liber Aash")</f>
        <v>0</v>
      </c>
      <c r="B712" t="s">
        <v>101</v>
      </c>
      <c r="C712" t="s">
        <v>1181</v>
      </c>
      <c r="D712" t="s">
        <v>2491</v>
      </c>
      <c r="E712" t="s">
        <v>3117</v>
      </c>
      <c r="F712" t="s">
        <v>3131</v>
      </c>
      <c r="G712" s="2" t="s">
        <v>3842</v>
      </c>
      <c r="H712">
        <v>5.95E-05</v>
      </c>
      <c r="I712">
        <v>5.04E-05</v>
      </c>
      <c r="J712">
        <v>0.0001099</v>
      </c>
    </row>
    <row r="713" spans="1:10">
      <c r="A713">
        <f>HYPERLINK("https://mega.nz/file/CVMDUB7B#zKOdEst2oSEpOUUdnuuhi92MTj59zsCdISwI7z9eTXQ", "Liber Artemis Iota")</f>
        <v>0</v>
      </c>
      <c r="B713" t="s">
        <v>101</v>
      </c>
      <c r="C713" t="s">
        <v>1182</v>
      </c>
      <c r="D713" t="s">
        <v>2492</v>
      </c>
      <c r="E713" t="s">
        <v>3117</v>
      </c>
      <c r="F713" t="s">
        <v>3131</v>
      </c>
      <c r="G713" s="2" t="s">
        <v>3843</v>
      </c>
      <c r="H713">
        <v>6.055E-05</v>
      </c>
      <c r="I713">
        <v>5.565E-05</v>
      </c>
      <c r="J713">
        <v>0.0001162</v>
      </c>
    </row>
    <row r="714" spans="1:10">
      <c r="A714">
        <f>HYPERLINK("https://mega.nz/file/SIMUwLDY#r9Ny8hCCCCwZUK6jeneiS9wKbzWFmVjEP_fBHYO1SNs", "Liber B Vel Magos")</f>
        <v>0</v>
      </c>
      <c r="B714" t="s">
        <v>101</v>
      </c>
      <c r="C714" t="s">
        <v>1183</v>
      </c>
      <c r="D714" t="s">
        <v>2493</v>
      </c>
      <c r="E714" t="s">
        <v>3117</v>
      </c>
      <c r="F714" t="s">
        <v>3131</v>
      </c>
      <c r="G714" s="2" t="s">
        <v>3844</v>
      </c>
      <c r="H714">
        <v>6.160000000000001E-05</v>
      </c>
      <c r="I714">
        <v>5.67E-05</v>
      </c>
      <c r="J714">
        <v>0.0001183</v>
      </c>
    </row>
    <row r="715" spans="1:10">
      <c r="A715">
        <f>HYPERLINK("https://mega.nz/file/fYcmSDZS#QgfIAYZIa15ePWoo0zRvFiivmuclflIl3sl1BtEbPZI", "Liber Cheth")</f>
        <v>0</v>
      </c>
      <c r="B715" t="s">
        <v>101</v>
      </c>
      <c r="C715" t="s">
        <v>1184</v>
      </c>
      <c r="D715" t="s">
        <v>2494</v>
      </c>
      <c r="E715" t="s">
        <v>3117</v>
      </c>
      <c r="F715" t="s">
        <v>3131</v>
      </c>
      <c r="G715" s="2" t="s">
        <v>3845</v>
      </c>
      <c r="H715">
        <v>5.95E-05</v>
      </c>
      <c r="I715">
        <v>5.18E-05</v>
      </c>
      <c r="J715">
        <v>0.0001113</v>
      </c>
    </row>
    <row r="716" spans="1:10">
      <c r="A716">
        <f>HYPERLINK("https://mega.nz/file/nIMVCLAI#hbE-KLqL5jxWHIN2TlxFhUh4RxyjiCnzouZf97CK_rQ", "Liber Had")</f>
        <v>0</v>
      </c>
      <c r="B716" t="s">
        <v>101</v>
      </c>
      <c r="C716" t="s">
        <v>1185</v>
      </c>
      <c r="D716" t="s">
        <v>2495</v>
      </c>
      <c r="E716" t="s">
        <v>3117</v>
      </c>
      <c r="F716" t="s">
        <v>3131</v>
      </c>
      <c r="G716" s="2" t="s">
        <v>3846</v>
      </c>
      <c r="H716">
        <v>5.845E-05</v>
      </c>
      <c r="I716">
        <v>5.285E-05</v>
      </c>
      <c r="J716">
        <v>0.0001113</v>
      </c>
    </row>
    <row r="717" spans="1:10">
      <c r="A717">
        <f>HYPERLINK("https://mega.nz/file/LF9GhQRK#WEVzg1Y7KogxPJCraZ9znAdprl6yZLJK3W59Ei_pjcU", "Liber Stellae Rubeae")</f>
        <v>0</v>
      </c>
      <c r="B717" t="s">
        <v>101</v>
      </c>
      <c r="C717" t="s">
        <v>1186</v>
      </c>
      <c r="D717" t="s">
        <v>2496</v>
      </c>
      <c r="E717" t="s">
        <v>3117</v>
      </c>
      <c r="F717" t="s">
        <v>3131</v>
      </c>
      <c r="G717" s="2" t="s">
        <v>3847</v>
      </c>
      <c r="H717">
        <v>6.265E-05</v>
      </c>
      <c r="I717">
        <v>5.635E-05</v>
      </c>
      <c r="J717">
        <v>0.000119</v>
      </c>
    </row>
    <row r="718" spans="1:10">
      <c r="A718">
        <f>HYPERLINK("https://mega.nz/file/HddQRSiB#Vbrf2awiOYL4u6ROx-l1h15dFWYm1MbiYkFnhypj9UI", "Manuscritos De Kabballah")</f>
        <v>0</v>
      </c>
      <c r="B718" t="s">
        <v>101</v>
      </c>
      <c r="C718" t="s">
        <v>1187</v>
      </c>
      <c r="D718" t="s">
        <v>2497</v>
      </c>
      <c r="E718" t="s">
        <v>3117</v>
      </c>
      <c r="F718" t="s">
        <v>3130</v>
      </c>
      <c r="G718" s="2" t="s">
        <v>3848</v>
      </c>
      <c r="H718">
        <v>6.37E-05</v>
      </c>
      <c r="I718">
        <v>6.02E-05</v>
      </c>
      <c r="J718">
        <v>0.0001239</v>
      </c>
    </row>
    <row r="719" spans="1:10">
      <c r="A719">
        <f>HYPERLINK("https://mega.nz/file/7dsABKJR#YCA3gbw_7zZSmyCe7a3dzYXjO8c-3VZzn7JA5q7tQIU", "Tarot")</f>
        <v>0</v>
      </c>
      <c r="B719" t="s">
        <v>101</v>
      </c>
      <c r="C719" t="s">
        <v>1188</v>
      </c>
      <c r="D719" t="s">
        <v>2498</v>
      </c>
      <c r="E719" t="s">
        <v>1188</v>
      </c>
      <c r="F719" t="s">
        <v>3131</v>
      </c>
      <c r="G719" s="2" t="s">
        <v>3849</v>
      </c>
      <c r="H719">
        <v>5.915E-05</v>
      </c>
      <c r="I719">
        <v>5.495E-05</v>
      </c>
      <c r="J719">
        <v>0.0001141</v>
      </c>
    </row>
    <row r="720" spans="1:10">
      <c r="A720">
        <f>HYPERLINK("https://mega.nz/file/jRNXVLLK#XtoWo-HgG2SjYofSzwfMtkFU2MjsPQjhBIIG8r3fjMk", "The Necronomicon")</f>
        <v>0</v>
      </c>
      <c r="B720" t="s">
        <v>101</v>
      </c>
      <c r="C720" t="s">
        <v>1189</v>
      </c>
      <c r="D720" t="s">
        <v>2499</v>
      </c>
      <c r="E720" t="s">
        <v>3117</v>
      </c>
      <c r="F720" t="s">
        <v>3131</v>
      </c>
      <c r="G720" s="2" t="s">
        <v>3850</v>
      </c>
      <c r="H720">
        <v>6.160000000000001E-05</v>
      </c>
      <c r="I720">
        <v>6.334999999999999E-05</v>
      </c>
      <c r="J720">
        <v>0.00012495</v>
      </c>
    </row>
    <row r="721" spans="1:10">
      <c r="A721">
        <f>HYPERLINK("https://mega.nz/file/iA9S3TaT#ri8aEwaCNHXWQ_kOjaNaaMggyGYc3VIkIrxnUzq4FRQ", "Liber III Frag")</f>
        <v>0</v>
      </c>
      <c r="B721" t="s">
        <v>102</v>
      </c>
      <c r="C721" t="s">
        <v>1190</v>
      </c>
      <c r="D721" t="s">
        <v>2500</v>
      </c>
      <c r="E721" t="s">
        <v>3117</v>
      </c>
      <c r="F721" t="s">
        <v>3131</v>
      </c>
      <c r="G721" s="2" t="s">
        <v>3851</v>
      </c>
      <c r="H721">
        <v>6.055E-05</v>
      </c>
      <c r="I721">
        <v>5.565E-05</v>
      </c>
      <c r="J721">
        <v>0.0001162</v>
      </c>
    </row>
    <row r="722" spans="1:10">
      <c r="A722">
        <f>HYPERLINK("https://mega.nz/file/zdFASZCJ#jK97CNoQkQyu_1qGrOfYXjtxOP8KYLSKNHqwWMYYYPw", "Magic Without Tears")</f>
        <v>0</v>
      </c>
      <c r="B722" t="s">
        <v>103</v>
      </c>
      <c r="C722" t="s">
        <v>1191</v>
      </c>
      <c r="D722" t="s">
        <v>2501</v>
      </c>
      <c r="E722" t="s">
        <v>3117</v>
      </c>
      <c r="F722" t="s">
        <v>3131</v>
      </c>
      <c r="G722" s="2" t="s">
        <v>3852</v>
      </c>
      <c r="H722">
        <v>6.055E-05</v>
      </c>
      <c r="I722">
        <v>5.215E-05</v>
      </c>
      <c r="J722">
        <v>0.0001127</v>
      </c>
    </row>
    <row r="723" spans="1:10">
      <c r="A723">
        <f>HYPERLINK("https://mega.nz/file/TVVEQLBK#Eqi5ycXwelwmTFwuUiXPp6E35NgW5XNMe7E2_suo2k8", "Resumen MAgik")</f>
        <v>0</v>
      </c>
      <c r="B723" t="s">
        <v>103</v>
      </c>
      <c r="C723" t="s">
        <v>1192</v>
      </c>
      <c r="D723" t="s">
        <v>2502</v>
      </c>
      <c r="E723" t="s">
        <v>3117</v>
      </c>
      <c r="F723" t="s">
        <v>3131</v>
      </c>
      <c r="G723" s="2" t="s">
        <v>3853</v>
      </c>
      <c r="H723">
        <v>6.265E-05</v>
      </c>
      <c r="I723">
        <v>5.355E-05</v>
      </c>
      <c r="J723">
        <v>0.0001162</v>
      </c>
    </row>
    <row r="724" spans="1:10">
      <c r="A724">
        <f>HYPERLINK("https://mega.nz/file/7EdFmR4Q#8CmtRkzoVEeX9JxSfda5PRUw4CK1ZupQdNUxqycF3kU", "The Book of Lies")</f>
        <v>0</v>
      </c>
      <c r="B724" t="s">
        <v>103</v>
      </c>
      <c r="C724" t="s">
        <v>1193</v>
      </c>
      <c r="D724" t="s">
        <v>2503</v>
      </c>
      <c r="E724" t="s">
        <v>3117</v>
      </c>
      <c r="F724" t="s">
        <v>3131</v>
      </c>
      <c r="G724" s="2" t="s">
        <v>3854</v>
      </c>
      <c r="H724">
        <v>6.265E-05</v>
      </c>
      <c r="I724">
        <v>6.439999999999999E-05</v>
      </c>
      <c r="J724">
        <v>0.00012705</v>
      </c>
    </row>
    <row r="725" spans="1:10">
      <c r="A725">
        <f>HYPERLINK("https://mega.nz/file/TZkGhSga#IWq8g85UWf_-0t-HI90dNT-nbw54BaAX5z49zYm9vb8", "The Goetia")</f>
        <v>0</v>
      </c>
      <c r="B725" t="s">
        <v>104</v>
      </c>
      <c r="C725" t="s">
        <v>1194</v>
      </c>
      <c r="D725" t="s">
        <v>2504</v>
      </c>
      <c r="E725" t="s">
        <v>3117</v>
      </c>
      <c r="F725" t="s">
        <v>3131</v>
      </c>
      <c r="G725" s="2" t="s">
        <v>3855</v>
      </c>
      <c r="H725">
        <v>6.160000000000001E-05</v>
      </c>
      <c r="I725">
        <v>5.18E-05</v>
      </c>
      <c r="J725">
        <v>0.0001134</v>
      </c>
    </row>
    <row r="726" spans="1:10">
      <c r="A726">
        <f>HYPERLINK("https://mega.nz/file/uQFzDbwI#d38Ke4izhbHMAhCGvcZ6XiTVgFjL5v9jZPVKqgtZPhU", "Wicca")</f>
        <v>0</v>
      </c>
      <c r="B726" t="s">
        <v>105</v>
      </c>
      <c r="C726" t="s">
        <v>1195</v>
      </c>
      <c r="D726" t="s">
        <v>2505</v>
      </c>
      <c r="E726" t="s">
        <v>3123</v>
      </c>
      <c r="F726" t="s">
        <v>3131</v>
      </c>
      <c r="G726" s="2" t="s">
        <v>3856</v>
      </c>
      <c r="H726">
        <v>5.705E-05</v>
      </c>
      <c r="I726">
        <v>4.97E-05</v>
      </c>
      <c r="J726">
        <v>0.00010675</v>
      </c>
    </row>
    <row r="727" spans="1:10">
      <c r="A727">
        <f>HYPERLINK("https://mega.nz/file/eFdRQAIL#AY8OxdceGpq7PQwYyH4-2YbW3TIRh5zYZWjPX4H7NsM", "guia para el practicante solitario")</f>
        <v>0</v>
      </c>
      <c r="B727" t="s">
        <v>106</v>
      </c>
      <c r="C727" t="s">
        <v>1196</v>
      </c>
      <c r="D727" t="s">
        <v>2506</v>
      </c>
      <c r="E727" t="s">
        <v>3117</v>
      </c>
      <c r="F727" t="s">
        <v>3130</v>
      </c>
      <c r="G727" s="2" t="s">
        <v>3857</v>
      </c>
      <c r="H727">
        <v>6.439999999999999E-05</v>
      </c>
      <c r="I727">
        <v>6.265E-05</v>
      </c>
      <c r="J727">
        <v>0.00012705</v>
      </c>
    </row>
    <row r="728" spans="1:10">
      <c r="A728">
        <f>HYPERLINK("https://mega.nz/file/PAl3mSDA#PbZxUpYOH6qNXU7entjDTOyCAmY6loTZgncSgJv_zP0", "La Conspiracion De Los Alquimistas")</f>
        <v>0</v>
      </c>
      <c r="B728" t="s">
        <v>107</v>
      </c>
      <c r="C728" t="s">
        <v>1197</v>
      </c>
      <c r="D728" t="s">
        <v>2507</v>
      </c>
      <c r="E728" t="s">
        <v>3117</v>
      </c>
      <c r="F728" t="s">
        <v>3130</v>
      </c>
      <c r="G728" s="2" t="s">
        <v>3858</v>
      </c>
      <c r="H728">
        <v>6.999999999999999E-05</v>
      </c>
      <c r="I728">
        <v>6.86E-05</v>
      </c>
      <c r="J728">
        <v>0.0001386</v>
      </c>
    </row>
    <row r="729" spans="1:10">
      <c r="A729">
        <f>HYPERLINK("https://mega.nz/file/yNERRJRS#vk_RrGxdC9n_qaqOY1NqghJpYZKHGk4Dqdg5igPgUd0", "Magia Celta")</f>
        <v>0</v>
      </c>
      <c r="B729" t="s">
        <v>108</v>
      </c>
      <c r="C729" t="s">
        <v>1198</v>
      </c>
      <c r="D729" t="s">
        <v>2508</v>
      </c>
      <c r="E729" t="s">
        <v>3117</v>
      </c>
      <c r="F729" t="s">
        <v>3130</v>
      </c>
      <c r="G729" s="2" t="s">
        <v>3859</v>
      </c>
      <c r="H729">
        <v>6.160000000000001E-05</v>
      </c>
      <c r="I729">
        <v>5.95E-05</v>
      </c>
      <c r="J729">
        <v>0.0001211</v>
      </c>
    </row>
    <row r="730" spans="1:10">
      <c r="A730">
        <f>HYPERLINK("https://mega.nz/file/KF9B1KyC#UazqCQWVpfHS4iiwBeQZAYX2PPZhxMliw3X4tmd0hfs", "A Small Dictionary Of Pagan Gods and Goddess")</f>
        <v>0</v>
      </c>
      <c r="B730" t="s">
        <v>109</v>
      </c>
      <c r="C730" t="s">
        <v>1199</v>
      </c>
      <c r="D730" t="s">
        <v>2509</v>
      </c>
      <c r="E730" t="s">
        <v>3117</v>
      </c>
      <c r="F730" t="s">
        <v>3131</v>
      </c>
      <c r="G730" s="2" t="s">
        <v>3860</v>
      </c>
      <c r="H730">
        <v>6.58E-05</v>
      </c>
      <c r="I730">
        <v>6.86E-05</v>
      </c>
      <c r="J730">
        <v>0.0001344</v>
      </c>
    </row>
    <row r="731" spans="1:10">
      <c r="A731">
        <f>HYPERLINK("https://mega.nz/file/KcUDVLIS#HW-QyfEkdbYkd5TWs8X353YJKrB4L6hJpks3xX8Ehts", "Win Friends and Influence People")</f>
        <v>0</v>
      </c>
      <c r="B731" t="s">
        <v>110</v>
      </c>
      <c r="C731" t="s">
        <v>1200</v>
      </c>
      <c r="D731" t="s">
        <v>2510</v>
      </c>
      <c r="E731" t="s">
        <v>3117</v>
      </c>
      <c r="F731" t="s">
        <v>3131</v>
      </c>
      <c r="G731" s="2" t="s">
        <v>3861</v>
      </c>
      <c r="H731">
        <v>5.915E-05</v>
      </c>
      <c r="I731">
        <v>5.39E-05</v>
      </c>
      <c r="J731">
        <v>0.00011305</v>
      </c>
    </row>
    <row r="732" spans="1:10">
      <c r="A732">
        <f>HYPERLINK("https://mega.nz/file/qd9xyJiJ#yxGCpE7LozCouBvlkVO7lsVd-qSIDkpyGKkIkOKk-FQ", "A Tarot History Timeline")</f>
        <v>0</v>
      </c>
      <c r="B732" t="s">
        <v>111</v>
      </c>
      <c r="C732" t="s">
        <v>1201</v>
      </c>
      <c r="D732" t="s">
        <v>2511</v>
      </c>
      <c r="E732" t="s">
        <v>1188</v>
      </c>
      <c r="F732" t="s">
        <v>3131</v>
      </c>
      <c r="G732" s="2" t="s">
        <v>3862</v>
      </c>
      <c r="H732">
        <v>5.845E-05</v>
      </c>
      <c r="I732">
        <v>4.935E-05</v>
      </c>
      <c r="J732">
        <v>0.0001078</v>
      </c>
    </row>
    <row r="733" spans="1:10">
      <c r="A733">
        <f>HYPERLINK("https://mega.nz/file/2d0AXSjT#QrEWltK8IxAY6I-4lU2XP7CW-x_x5CHixNEHnpmn4sc", "Demonology and Devil Lore Volume 1")</f>
        <v>0</v>
      </c>
      <c r="B733" t="s">
        <v>112</v>
      </c>
      <c r="C733" t="s">
        <v>1202</v>
      </c>
      <c r="D733" t="s">
        <v>2512</v>
      </c>
      <c r="E733" t="s">
        <v>3117</v>
      </c>
      <c r="F733" t="s">
        <v>3131</v>
      </c>
      <c r="G733" s="2" t="s">
        <v>3863</v>
      </c>
      <c r="H733">
        <v>6.475E-05</v>
      </c>
      <c r="I733">
        <v>6.055E-05</v>
      </c>
      <c r="J733">
        <v>0.0001253</v>
      </c>
    </row>
    <row r="734" spans="1:10">
      <c r="A734">
        <f>HYPERLINK("https://mega.nz/file/vFlVxLhS#lPoGhe9eyM0P1_KYWu7TNP4iodIWAwXRemeZen9guEQ", "Demonology and Devil Lore Volume 2")</f>
        <v>0</v>
      </c>
      <c r="B734" t="s">
        <v>112</v>
      </c>
      <c r="C734" t="s">
        <v>1203</v>
      </c>
      <c r="D734" t="s">
        <v>2513</v>
      </c>
      <c r="E734" t="s">
        <v>3117</v>
      </c>
      <c r="F734" t="s">
        <v>3131</v>
      </c>
      <c r="G734" s="2" t="s">
        <v>3864</v>
      </c>
      <c r="H734">
        <v>6.475E-05</v>
      </c>
      <c r="I734">
        <v>5.775E-05</v>
      </c>
      <c r="J734">
        <v>0.0001225</v>
      </c>
    </row>
    <row r="735" spans="1:10">
      <c r="A735">
        <f>HYPERLINK("https://mega.nz/file/7VEnRJDS#g6eU9R5bvbvWB6WRx5GnKRVpLZJ_-66TCDze9mIMcJs", "Interlinear Apocalypse")</f>
        <v>0</v>
      </c>
      <c r="B735" t="s">
        <v>113</v>
      </c>
      <c r="C735" t="s">
        <v>1204</v>
      </c>
      <c r="D735" t="s">
        <v>2514</v>
      </c>
      <c r="E735" t="s">
        <v>3117</v>
      </c>
      <c r="F735" t="s">
        <v>3131</v>
      </c>
      <c r="G735" s="2" t="s">
        <v>3865</v>
      </c>
      <c r="H735">
        <v>5.74E-05</v>
      </c>
      <c r="I735">
        <v>5.18E-05</v>
      </c>
      <c r="J735">
        <v>0.0001092</v>
      </c>
    </row>
    <row r="736" spans="1:10">
      <c r="A736">
        <f>HYPERLINK("https://mega.nz/file/zNlUXbjI#Z1y7oqIjjU_rxuZUkzFnxu5dWJgTvSSvgXsvGJ7OCb0", "Planetary Awareness Technique")</f>
        <v>0</v>
      </c>
      <c r="B736" t="s">
        <v>113</v>
      </c>
      <c r="C736" t="s">
        <v>1205</v>
      </c>
      <c r="D736" t="s">
        <v>2515</v>
      </c>
      <c r="E736" t="s">
        <v>3117</v>
      </c>
      <c r="F736" t="s">
        <v>3131</v>
      </c>
      <c r="G736" s="2" t="s">
        <v>3866</v>
      </c>
      <c r="H736">
        <v>5.81E-05</v>
      </c>
      <c r="I736">
        <v>5.355E-05</v>
      </c>
      <c r="J736">
        <v>0.00011165</v>
      </c>
    </row>
    <row r="737" spans="1:10">
      <c r="A737">
        <f>HYPERLINK("https://mega.nz/file/CV9nAI6b#Wo9aCowVWHgspvlYBswZUDS9UOVdUr6aNbyMagL9yz8", "El Oro De Los Dioses")</f>
        <v>0</v>
      </c>
      <c r="B737" t="s">
        <v>114</v>
      </c>
      <c r="C737" t="s">
        <v>1206</v>
      </c>
      <c r="D737" t="s">
        <v>2516</v>
      </c>
      <c r="E737" t="s">
        <v>3117</v>
      </c>
      <c r="F737" t="s">
        <v>3130</v>
      </c>
      <c r="G737" s="2" t="s">
        <v>3867</v>
      </c>
      <c r="H737">
        <v>6.405E-05</v>
      </c>
      <c r="I737">
        <v>6.825000000000001E-05</v>
      </c>
      <c r="J737">
        <v>0.0001323</v>
      </c>
    </row>
    <row r="738" spans="1:10">
      <c r="A738">
        <f>HYPERLINK("https://mega.nz/file/TBdTRAhT#SHj2JY-Rkg4_MK7WkbJBxkSR6Hcxqyt4w_cPsVQeJcc", "El Oro De Los Dioses")</f>
        <v>0</v>
      </c>
      <c r="B738" t="s">
        <v>114</v>
      </c>
      <c r="C738" t="s">
        <v>1206</v>
      </c>
      <c r="D738" t="s">
        <v>2517</v>
      </c>
      <c r="E738" t="s">
        <v>3117</v>
      </c>
      <c r="F738" t="s">
        <v>3130</v>
      </c>
      <c r="G738" s="2" t="s">
        <v>3868</v>
      </c>
      <c r="H738">
        <v>6.405E-05</v>
      </c>
      <c r="I738">
        <v>5.775E-05</v>
      </c>
      <c r="J738">
        <v>0.0001218</v>
      </c>
    </row>
    <row r="739" spans="1:10">
      <c r="A739">
        <f>HYPERLINK("https://mega.nz/file/2YEjFCQa#Ctp5i41KQVJLObJ8oZ8YDj_lCe1h5Y-AAIlyo7yUS1I", "Las Naves De Los Dioses")</f>
        <v>0</v>
      </c>
      <c r="B739" t="s">
        <v>114</v>
      </c>
      <c r="C739" t="s">
        <v>1207</v>
      </c>
      <c r="D739" t="s">
        <v>2518</v>
      </c>
      <c r="E739" t="s">
        <v>3117</v>
      </c>
      <c r="F739" t="s">
        <v>3130</v>
      </c>
      <c r="G739" s="2" t="s">
        <v>3869</v>
      </c>
      <c r="H739">
        <v>6.37E-05</v>
      </c>
      <c r="I739">
        <v>7.07E-05</v>
      </c>
      <c r="J739">
        <v>0.0001344</v>
      </c>
    </row>
    <row r="740" spans="1:10">
      <c r="A740">
        <f>HYPERLINK("https://mega.nz/file/mR1iVQya#HL-_nnEivlTJ8kQyfRFErUzOIAr59XeqZi8x-xnsG1w", "Profeta Del Pasado")</f>
        <v>0</v>
      </c>
      <c r="B740" t="s">
        <v>114</v>
      </c>
      <c r="C740" t="s">
        <v>1208</v>
      </c>
      <c r="D740" t="s">
        <v>2519</v>
      </c>
      <c r="E740" t="s">
        <v>3117</v>
      </c>
      <c r="F740" t="s">
        <v>3130</v>
      </c>
      <c r="G740" s="2" t="s">
        <v>3870</v>
      </c>
      <c r="H740">
        <v>6.160000000000001E-05</v>
      </c>
      <c r="I740">
        <v>6.58E-05</v>
      </c>
      <c r="J740">
        <v>0.0001274</v>
      </c>
    </row>
    <row r="741" spans="1:10">
      <c r="A741">
        <f>HYPERLINK("https://mega.nz/file/iNF0VJyI#FZvPMBS6irwN_YIduHFcm9CRckcGqt0IuM4EIYRl0SU", "Alchemy The Black Art")</f>
        <v>0</v>
      </c>
      <c r="B741" t="s">
        <v>115</v>
      </c>
      <c r="C741" t="s">
        <v>1209</v>
      </c>
      <c r="D741" t="s">
        <v>2520</v>
      </c>
      <c r="E741" t="s">
        <v>1584</v>
      </c>
      <c r="F741" t="s">
        <v>3131</v>
      </c>
      <c r="G741" s="2" t="s">
        <v>3871</v>
      </c>
      <c r="H741">
        <v>6.055E-05</v>
      </c>
      <c r="I741">
        <v>5.425E-05</v>
      </c>
      <c r="J741">
        <v>0.0001148</v>
      </c>
    </row>
    <row r="742" spans="1:10">
      <c r="A742">
        <f>HYPERLINK("https://mega.nz/file/2FVQgLIA#hjmdVZq0E_YJxdihZ8n8ZctkFBnC-MMfzmaO63W1XtU", "tratado de la naturaleza humana")</f>
        <v>0</v>
      </c>
      <c r="B742" t="s">
        <v>116</v>
      </c>
      <c r="C742" t="s">
        <v>1210</v>
      </c>
      <c r="D742" t="s">
        <v>2521</v>
      </c>
      <c r="E742" t="s">
        <v>3117</v>
      </c>
      <c r="F742" t="s">
        <v>3130</v>
      </c>
      <c r="G742" s="2" t="s">
        <v>3872</v>
      </c>
      <c r="H742">
        <v>6.02E-05</v>
      </c>
      <c r="I742">
        <v>6.615E-05</v>
      </c>
      <c r="J742">
        <v>0.00012635</v>
      </c>
    </row>
    <row r="743" spans="1:10">
      <c r="A743">
        <f>HYPERLINK("https://mega.nz/file/rU9QxK4S#nhFf90xAqcxMc2i_9UTadI24XBJVThbinyLk85rcMss", "Magos y Misticos Del Tibet")</f>
        <v>0</v>
      </c>
      <c r="B743" t="s">
        <v>117</v>
      </c>
      <c r="C743" t="s">
        <v>1211</v>
      </c>
      <c r="D743" t="s">
        <v>2522</v>
      </c>
      <c r="E743" t="s">
        <v>3117</v>
      </c>
      <c r="F743" t="s">
        <v>3130</v>
      </c>
      <c r="G743" s="2" t="s">
        <v>3873</v>
      </c>
      <c r="H743">
        <v>6.65E-05</v>
      </c>
      <c r="I743">
        <v>6.719999999999999E-05</v>
      </c>
      <c r="J743">
        <v>0.0001337</v>
      </c>
    </row>
    <row r="744" spans="1:10">
      <c r="A744">
        <f>HYPERLINK("https://mega.nz/file/DMFVAR6b#byfHbgIICmsoR4YvZHLzetJQgU7eotYcaZhhJp0gO9Y", "Misterios De La Historia")</f>
        <v>0</v>
      </c>
      <c r="B744" t="s">
        <v>118</v>
      </c>
      <c r="C744" t="s">
        <v>1212</v>
      </c>
      <c r="D744" t="s">
        <v>2523</v>
      </c>
      <c r="E744" t="s">
        <v>3117</v>
      </c>
      <c r="F744" t="s">
        <v>3130</v>
      </c>
      <c r="G744" s="2" t="s">
        <v>3874</v>
      </c>
      <c r="H744">
        <v>6.334999999999999E-05</v>
      </c>
      <c r="I744">
        <v>5.46E-05</v>
      </c>
      <c r="J744">
        <v>0.00011795</v>
      </c>
    </row>
    <row r="745" spans="1:10">
      <c r="A745">
        <f>HYPERLINK("https://mega.nz/file/KAFRGQjb#9AEWKNIk5-gr0MhEAuYD0G0gj6hhlgOyGUaK_ON3Iqs", "Historia Antigua de Israel II")</f>
        <v>0</v>
      </c>
      <c r="B745" t="s">
        <v>119</v>
      </c>
      <c r="C745" t="s">
        <v>1213</v>
      </c>
      <c r="D745" t="s">
        <v>2524</v>
      </c>
      <c r="E745" t="s">
        <v>3117</v>
      </c>
      <c r="F745" t="s">
        <v>3130</v>
      </c>
      <c r="G745" s="2" t="s">
        <v>3875</v>
      </c>
      <c r="H745">
        <v>6.37E-05</v>
      </c>
      <c r="I745">
        <v>6.265E-05</v>
      </c>
      <c r="J745">
        <v>0.00012635</v>
      </c>
    </row>
    <row r="746" spans="1:10">
      <c r="A746">
        <f>HYPERLINK("https://mega.nz/file/PENmXZ6I#fsPbwL4JBYbVD280BCkpO7Di5pgj7AGnq_PerPXUjdc", "Misterios En El Vaticano")</f>
        <v>0</v>
      </c>
      <c r="B746" t="s">
        <v>120</v>
      </c>
      <c r="C746" t="s">
        <v>1214</v>
      </c>
      <c r="D746" t="s">
        <v>2525</v>
      </c>
      <c r="E746" t="s">
        <v>3117</v>
      </c>
      <c r="F746" t="s">
        <v>3130</v>
      </c>
      <c r="G746" s="2" t="s">
        <v>3876</v>
      </c>
      <c r="H746">
        <v>6.23E-05</v>
      </c>
      <c r="I746">
        <v>6.895E-05</v>
      </c>
      <c r="J746">
        <v>0.00013125</v>
      </c>
    </row>
    <row r="747" spans="1:10">
      <c r="A747">
        <f>HYPERLINK("https://mega.nz/file/XdMjSArY#pAXRjCmgA3SqM093LS7b_XXFTNfT4ux40xKrAqhgw74", "charlotte fell Smith")</f>
        <v>0</v>
      </c>
      <c r="B747" t="s">
        <v>121</v>
      </c>
      <c r="C747" t="s">
        <v>1215</v>
      </c>
      <c r="D747" t="s">
        <v>2526</v>
      </c>
      <c r="E747" t="s">
        <v>3117</v>
      </c>
      <c r="F747" t="s">
        <v>3131</v>
      </c>
      <c r="G747" s="2" t="s">
        <v>3877</v>
      </c>
      <c r="H747">
        <v>5.95E-05</v>
      </c>
      <c r="I747">
        <v>4.62E-05</v>
      </c>
      <c r="J747">
        <v>0.0001057</v>
      </c>
    </row>
    <row r="748" spans="1:10">
      <c r="A748">
        <f>HYPERLINK("https://mega.nz/file/CA9QTC7J#vdLIrSDO6IqIn_wLIjQ5FDOb2IIZaWn0W7zKiiuMyc8", "La Heptarquia Mistica")</f>
        <v>0</v>
      </c>
      <c r="B748" t="s">
        <v>121</v>
      </c>
      <c r="C748" t="s">
        <v>1216</v>
      </c>
      <c r="D748" t="s">
        <v>2527</v>
      </c>
      <c r="E748" t="s">
        <v>3117</v>
      </c>
      <c r="F748" t="s">
        <v>3130</v>
      </c>
      <c r="G748" s="2" t="s">
        <v>3878</v>
      </c>
      <c r="H748">
        <v>6.055E-05</v>
      </c>
      <c r="I748">
        <v>6.125E-05</v>
      </c>
      <c r="J748">
        <v>0.0001218</v>
      </c>
    </row>
    <row r="749" spans="1:10">
      <c r="A749">
        <f>HYPERLINK("https://mega.nz/file/rBMSxT6B#PW1T2HIGlwR5UfXYncmTq2H9uR2n2re6QcOhO-7LNBI", "Liber Secundus")</f>
        <v>0</v>
      </c>
      <c r="B749" t="s">
        <v>122</v>
      </c>
      <c r="C749" t="s">
        <v>1217</v>
      </c>
      <c r="D749" t="s">
        <v>2528</v>
      </c>
      <c r="E749" t="s">
        <v>3117</v>
      </c>
      <c r="F749" t="s">
        <v>3131</v>
      </c>
      <c r="G749" s="2" t="s">
        <v>3879</v>
      </c>
      <c r="H749">
        <v>5.95E-05</v>
      </c>
      <c r="I749">
        <v>5.25E-05</v>
      </c>
      <c r="J749">
        <v>0.000112</v>
      </c>
    </row>
    <row r="750" spans="1:10">
      <c r="A750">
        <f>HYPERLINK("https://mega.nz/file/eE9QgZZS#HKxjTMzDIY3GMdyhFRL131kE7mfNtiHseT3ztesJ7wI", "Primus")</f>
        <v>0</v>
      </c>
      <c r="B750" t="s">
        <v>122</v>
      </c>
      <c r="C750" t="s">
        <v>1218</v>
      </c>
      <c r="D750" t="s">
        <v>2529</v>
      </c>
      <c r="E750" t="s">
        <v>3117</v>
      </c>
      <c r="F750" t="s">
        <v>3131</v>
      </c>
      <c r="G750" s="2" t="s">
        <v>3880</v>
      </c>
      <c r="H750">
        <v>5.775E-05</v>
      </c>
      <c r="I750">
        <v>5.32E-05</v>
      </c>
      <c r="J750">
        <v>0.00011095</v>
      </c>
    </row>
    <row r="751" spans="1:10">
      <c r="A751">
        <f>HYPERLINK("https://mega.nz/file/bNcxCAgJ#IeSxXOylH-LV_Bkz5QKbXxEEOU0647A2Qk1zHPi_haQ", "Los Enigmas Del 11m")</f>
        <v>0</v>
      </c>
      <c r="B751" t="s">
        <v>123</v>
      </c>
      <c r="C751" t="s">
        <v>1219</v>
      </c>
      <c r="D751" t="s">
        <v>2530</v>
      </c>
      <c r="E751" t="s">
        <v>3117</v>
      </c>
      <c r="F751" t="s">
        <v>3130</v>
      </c>
      <c r="G751" s="2" t="s">
        <v>3881</v>
      </c>
      <c r="H751">
        <v>6.475E-05</v>
      </c>
      <c r="I751">
        <v>6.125E-05</v>
      </c>
      <c r="J751">
        <v>0.000126</v>
      </c>
    </row>
    <row r="752" spans="1:10">
      <c r="A752">
        <f>HYPERLINK("https://mega.nz/file/bUMyHITC#L8FEbTB4D4aBTQx5fkrOadFrsWZx4ldCX8a2G6OrBSk", "Practical Guide To Psychic Self Defense and Well-being")</f>
        <v>0</v>
      </c>
      <c r="B752" t="s">
        <v>124</v>
      </c>
      <c r="C752" t="s">
        <v>1220</v>
      </c>
      <c r="D752" t="s">
        <v>2531</v>
      </c>
      <c r="E752" t="s">
        <v>3117</v>
      </c>
      <c r="F752" t="s">
        <v>3131</v>
      </c>
      <c r="G752" s="2" t="s">
        <v>3882</v>
      </c>
      <c r="H752">
        <v>6.685E-05</v>
      </c>
      <c r="I752">
        <v>5.565E-05</v>
      </c>
      <c r="J752">
        <v>0.0001225</v>
      </c>
    </row>
    <row r="753" spans="1:10">
      <c r="A753">
        <f>HYPERLINK("https://mega.nz/file/eIN0AQIB#PQD0OkkjB8bQHYMa7Jeb8JaDXw-BRkXE5n6UTwHo5Pc", "Kriminalgeschichte des Christentums")</f>
        <v>0</v>
      </c>
      <c r="B753" t="s">
        <v>125</v>
      </c>
      <c r="C753" t="s">
        <v>1221</v>
      </c>
      <c r="D753" t="s">
        <v>2532</v>
      </c>
      <c r="E753" t="s">
        <v>3117</v>
      </c>
      <c r="F753" t="s">
        <v>3131</v>
      </c>
      <c r="G753" s="2" t="s">
        <v>3883</v>
      </c>
      <c r="H753">
        <v>6.58E-05</v>
      </c>
      <c r="I753">
        <v>5.67E-05</v>
      </c>
      <c r="J753">
        <v>0.0001225</v>
      </c>
    </row>
    <row r="754" spans="1:10">
      <c r="A754">
        <f>HYPERLINK("https://mega.nz/file/PY1xHAwJ#F4jvtJd3nGlAUCRaCFVqkAHZnT0rFuJOiCKFmU3Uzcg", "La Cara Oculta del Cristianismo")</f>
        <v>0</v>
      </c>
      <c r="B754" t="s">
        <v>126</v>
      </c>
      <c r="C754" t="s">
        <v>1222</v>
      </c>
      <c r="D754" t="s">
        <v>2533</v>
      </c>
      <c r="E754" t="s">
        <v>3117</v>
      </c>
      <c r="F754" t="s">
        <v>3130</v>
      </c>
      <c r="G754" s="2" t="s">
        <v>3884</v>
      </c>
      <c r="H754">
        <v>6.999999999999999E-05</v>
      </c>
      <c r="I754">
        <v>5.425E-05</v>
      </c>
      <c r="J754">
        <v>0.00012425</v>
      </c>
    </row>
    <row r="755" spans="1:10">
      <c r="A755">
        <f>HYPERLINK("https://mega.nz/file/2JFgXBST#x7nXbmH0wERUhVijJhR4ZUuJdvq-sj_TRyGwfcjud7M", "Tiwanaku Capital Del Misterio")</f>
        <v>0</v>
      </c>
      <c r="B755" t="s">
        <v>127</v>
      </c>
      <c r="C755" t="s">
        <v>1223</v>
      </c>
      <c r="D755" t="s">
        <v>2534</v>
      </c>
      <c r="E755" t="s">
        <v>3117</v>
      </c>
      <c r="F755" t="s">
        <v>3130</v>
      </c>
      <c r="G755" s="2" t="s">
        <v>3885</v>
      </c>
      <c r="H755">
        <v>6.475E-05</v>
      </c>
      <c r="I755">
        <v>6.405E-05</v>
      </c>
      <c r="J755">
        <v>0.0001288</v>
      </c>
    </row>
    <row r="756" spans="1:10">
      <c r="A756">
        <f>HYPERLINK("https://mega.nz/file/zId0zSQb#nTmAxWXXnaki9GOUtOT2QXC-sKjHta3yv0yXMQW4Tco", "Amor y sexo segun el ocultismo")</f>
        <v>0</v>
      </c>
      <c r="B756" t="s">
        <v>128</v>
      </c>
      <c r="C756" t="s">
        <v>1224</v>
      </c>
      <c r="D756" t="s">
        <v>2535</v>
      </c>
      <c r="E756" t="s">
        <v>3117</v>
      </c>
      <c r="F756" t="s">
        <v>3130</v>
      </c>
      <c r="G756" s="2" t="s">
        <v>3886</v>
      </c>
      <c r="H756">
        <v>6.439999999999999E-05</v>
      </c>
      <c r="I756">
        <v>6.334999999999999E-05</v>
      </c>
      <c r="J756">
        <v>0.00012775</v>
      </c>
    </row>
    <row r="757" spans="1:10">
      <c r="A757">
        <f>HYPERLINK("https://mega.nz/file/DIdRnKoK#vO3Quw88ENoJ7OUKS780rGPYjOKjOGNx2UfoEvYArQI", "Cabala")</f>
        <v>0</v>
      </c>
      <c r="B757" t="s">
        <v>128</v>
      </c>
      <c r="C757" t="s">
        <v>1225</v>
      </c>
      <c r="D757" t="s">
        <v>2536</v>
      </c>
      <c r="E757" t="s">
        <v>3118</v>
      </c>
      <c r="F757" t="s">
        <v>3131</v>
      </c>
      <c r="G757" s="2" t="s">
        <v>3887</v>
      </c>
      <c r="H757">
        <v>5.775E-05</v>
      </c>
      <c r="I757">
        <v>4.97E-05</v>
      </c>
      <c r="J757">
        <v>0.00010745</v>
      </c>
    </row>
    <row r="758" spans="1:10">
      <c r="A758">
        <f>HYPERLINK("https://mega.nz/file/nEVDiDJL#EjlEQ2JbViYcTbz52wrMJOyA3vsR6WfRJNRjgE21-9s", "El adiestramiento de la mente")</f>
        <v>0</v>
      </c>
      <c r="B758" t="s">
        <v>128</v>
      </c>
      <c r="C758" t="s">
        <v>1226</v>
      </c>
      <c r="D758" t="s">
        <v>2537</v>
      </c>
      <c r="E758" t="s">
        <v>3117</v>
      </c>
      <c r="F758" t="s">
        <v>3130</v>
      </c>
      <c r="G758" s="2" t="s">
        <v>3888</v>
      </c>
      <c r="H758">
        <v>6.265E-05</v>
      </c>
      <c r="I758">
        <v>6.055E-05</v>
      </c>
      <c r="J758">
        <v>0.0001232</v>
      </c>
    </row>
    <row r="759" spans="1:10">
      <c r="A759">
        <f>HYPERLINK("https://mega.nz/file/zQ8kQJ7A#4eaqHd7ILgBmb-HxBDkuxZZKmFhu0Vp6lSRpg1dDqh4", "Glastonbury")</f>
        <v>0</v>
      </c>
      <c r="B759" t="s">
        <v>128</v>
      </c>
      <c r="C759" t="s">
        <v>1227</v>
      </c>
      <c r="D759" t="s">
        <v>2538</v>
      </c>
      <c r="E759" t="s">
        <v>3117</v>
      </c>
      <c r="F759" t="s">
        <v>3131</v>
      </c>
      <c r="G759" s="2" t="s">
        <v>3889</v>
      </c>
      <c r="H759">
        <v>5.775E-05</v>
      </c>
      <c r="I759">
        <v>5.985E-05</v>
      </c>
      <c r="J759">
        <v>0.0001176</v>
      </c>
    </row>
    <row r="760" spans="1:10">
      <c r="A760">
        <f>HYPERLINK("https://mega.nz/file/3Z830RjR#xrxImJFxSGr_g6NnDSb3xY2X6_xnblIKTZR967AHCAU", "Introduccion a la magia ritual")</f>
        <v>0</v>
      </c>
      <c r="B760" t="s">
        <v>128</v>
      </c>
      <c r="C760" t="s">
        <v>1228</v>
      </c>
      <c r="D760" t="s">
        <v>2539</v>
      </c>
      <c r="E760" t="s">
        <v>3117</v>
      </c>
      <c r="F760" t="s">
        <v>3130</v>
      </c>
      <c r="G760" s="2" t="s">
        <v>3890</v>
      </c>
      <c r="H760">
        <v>6.23E-05</v>
      </c>
      <c r="I760">
        <v>5.18E-05</v>
      </c>
      <c r="J760">
        <v>0.0001141</v>
      </c>
    </row>
    <row r="761" spans="1:10">
      <c r="A761">
        <f>HYPERLINK("https://mega.nz/file/DE9FhIiS#okd_eH9ILYChlrvaGK5N2mjuGmr1v7B4lKsyH95qI8o", "La Cabala Mistica")</f>
        <v>0</v>
      </c>
      <c r="B761" t="s">
        <v>128</v>
      </c>
      <c r="C761" t="s">
        <v>1229</v>
      </c>
      <c r="D761" t="s">
        <v>2540</v>
      </c>
      <c r="E761" t="s">
        <v>3118</v>
      </c>
      <c r="F761" t="s">
        <v>3130</v>
      </c>
      <c r="G761" s="2" t="s">
        <v>3891</v>
      </c>
      <c r="H761">
        <v>6.055E-05</v>
      </c>
      <c r="I761">
        <v>5.705E-05</v>
      </c>
      <c r="J761">
        <v>0.0001176</v>
      </c>
    </row>
    <row r="762" spans="1:10">
      <c r="A762">
        <f>HYPERLINK("https://mega.nz/file/qZECwRgQ#1qtGEtfjZVotukwuDLP91iYScxFDe_vxClx0ShDRZ5I", "La Sacerdotisa del Mar")</f>
        <v>0</v>
      </c>
      <c r="B762" t="s">
        <v>128</v>
      </c>
      <c r="C762" t="s">
        <v>1230</v>
      </c>
      <c r="D762" t="s">
        <v>2541</v>
      </c>
      <c r="E762" t="s">
        <v>3117</v>
      </c>
      <c r="F762" t="s">
        <v>3130</v>
      </c>
      <c r="G762" s="2" t="s">
        <v>3892</v>
      </c>
      <c r="H762">
        <v>6.265E-05</v>
      </c>
      <c r="I762">
        <v>6.055E-05</v>
      </c>
      <c r="J762">
        <v>0.0001232</v>
      </c>
    </row>
    <row r="763" spans="1:10">
      <c r="A763">
        <f>HYPERLINK("https://mega.nz/file/6J8yWaCD#HX9yko4wLKAHquEp9Zj48ZyGjPZ6akWHogEnhG-96Gk", "Magia Aplicada")</f>
        <v>0</v>
      </c>
      <c r="B763" t="s">
        <v>128</v>
      </c>
      <c r="C763" t="s">
        <v>1231</v>
      </c>
      <c r="D763" t="s">
        <v>2542</v>
      </c>
      <c r="E763" t="s">
        <v>3117</v>
      </c>
      <c r="F763" t="s">
        <v>3130</v>
      </c>
      <c r="G763" s="2" t="s">
        <v>3893</v>
      </c>
      <c r="H763">
        <v>5.95E-05</v>
      </c>
      <c r="I763">
        <v>5.04E-05</v>
      </c>
      <c r="J763">
        <v>0.0001099</v>
      </c>
    </row>
    <row r="764" spans="1:10">
      <c r="A764">
        <f>HYPERLINK("https://mega.nz/file/bd9GgKKa#zLm8GPVjBUydON5LU9750PBxxU3MN-x_aJaG-eYipHQ", "Mystical Qabala")</f>
        <v>0</v>
      </c>
      <c r="B764" t="s">
        <v>128</v>
      </c>
      <c r="C764" t="s">
        <v>1232</v>
      </c>
      <c r="D764" t="s">
        <v>2543</v>
      </c>
      <c r="E764" t="s">
        <v>3117</v>
      </c>
      <c r="F764" t="s">
        <v>3131</v>
      </c>
      <c r="G764" s="2" t="s">
        <v>3894</v>
      </c>
      <c r="H764">
        <v>6.055E-05</v>
      </c>
      <c r="I764">
        <v>5.425E-05</v>
      </c>
      <c r="J764">
        <v>0.0001148</v>
      </c>
    </row>
    <row r="765" spans="1:10">
      <c r="A765">
        <f>HYPERLINK("https://mega.nz/file/7MlBXIaJ#cxtTHGl7qAOdQ1goshIrHZb485ZNQh2j5jcJ6Cd4hhc", "Ocultismo practico en la vida diaria")</f>
        <v>0</v>
      </c>
      <c r="B765" t="s">
        <v>128</v>
      </c>
      <c r="C765" t="s">
        <v>1233</v>
      </c>
      <c r="D765" t="s">
        <v>2544</v>
      </c>
      <c r="E765" t="s">
        <v>3117</v>
      </c>
      <c r="F765" t="s">
        <v>3130</v>
      </c>
      <c r="G765" s="2" t="s">
        <v>3895</v>
      </c>
      <c r="H765">
        <v>6.475E-05</v>
      </c>
      <c r="I765">
        <v>6.055E-05</v>
      </c>
      <c r="J765">
        <v>0.0001253</v>
      </c>
    </row>
    <row r="766" spans="1:10">
      <c r="A766">
        <f>HYPERLINK("https://mega.nz/file/fA0mxJaI#uW4jdfMlMy9Q_jt6eNIBl1vFH8IF69Wq5uptaBvF5aE", "Psychic Self Defense")</f>
        <v>0</v>
      </c>
      <c r="B766" t="s">
        <v>128</v>
      </c>
      <c r="C766" t="s">
        <v>1234</v>
      </c>
      <c r="D766" t="s">
        <v>2545</v>
      </c>
      <c r="E766" t="s">
        <v>3117</v>
      </c>
      <c r="F766" t="s">
        <v>3131</v>
      </c>
      <c r="G766" s="2" t="s">
        <v>3896</v>
      </c>
      <c r="H766">
        <v>5.915E-05</v>
      </c>
      <c r="I766">
        <v>5.53E-05</v>
      </c>
      <c r="J766">
        <v>0.00011445</v>
      </c>
    </row>
    <row r="767" spans="1:10">
      <c r="A767">
        <f>HYPERLINK("https://mega.nz/file/aItziTDC#LSko769m3N4GpPeeJ_b42k90nF3rRXPTYppsCZWJ4mk", "Apotheosis Psycherotica")</f>
        <v>0</v>
      </c>
      <c r="B767" t="s">
        <v>129</v>
      </c>
      <c r="C767" t="s">
        <v>1235</v>
      </c>
      <c r="D767" t="s">
        <v>2546</v>
      </c>
      <c r="E767" t="s">
        <v>3117</v>
      </c>
      <c r="F767" t="s">
        <v>3131</v>
      </c>
      <c r="G767" s="2" t="s">
        <v>3897</v>
      </c>
      <c r="H767">
        <v>6.09E-05</v>
      </c>
      <c r="I767">
        <v>5.11E-05</v>
      </c>
      <c r="J767">
        <v>0.000112</v>
      </c>
    </row>
    <row r="768" spans="1:10">
      <c r="A768">
        <f>HYPERLINK("https://mega.nz/file/XQkXVIra#o-UHT97xqSMt6V_N2_huTFlvJFyCB13cOJfUV_ixlc4", "Jonesboria Discordia")</f>
        <v>0</v>
      </c>
      <c r="B768" t="s">
        <v>129</v>
      </c>
      <c r="C768" t="s">
        <v>1236</v>
      </c>
      <c r="D768" t="s">
        <v>2547</v>
      </c>
      <c r="E768" t="s">
        <v>3117</v>
      </c>
      <c r="F768" t="s">
        <v>3131</v>
      </c>
      <c r="G768" s="2" t="s">
        <v>3898</v>
      </c>
      <c r="H768">
        <v>5.95E-05</v>
      </c>
      <c r="I768">
        <v>5.46E-05</v>
      </c>
      <c r="J768">
        <v>0.0001141</v>
      </c>
    </row>
    <row r="769" spans="1:10">
      <c r="A769">
        <f>HYPERLINK("https://mega.nz/file/eIlhXJrC#v1eDMy4rQEnRAp9MBT679XuaBFWpZkTvrsowSH28Aqk", "Paganos y Cristianos en Una Época de Angustia")</f>
        <v>0</v>
      </c>
      <c r="B769" t="s">
        <v>130</v>
      </c>
      <c r="C769" t="s">
        <v>1237</v>
      </c>
      <c r="D769" t="s">
        <v>2548</v>
      </c>
      <c r="E769" t="s">
        <v>3117</v>
      </c>
      <c r="F769" t="s">
        <v>3130</v>
      </c>
      <c r="G769" s="2" t="s">
        <v>3899</v>
      </c>
      <c r="H769">
        <v>7.63E-05</v>
      </c>
      <c r="I769">
        <v>5.6E-05</v>
      </c>
      <c r="J769">
        <v>0.0001323</v>
      </c>
    </row>
    <row r="770" spans="1:10">
      <c r="A770">
        <f>HYPERLINK("https://mega.nz/file/mdNFDSpI#5JZqj7Qojh3R9ClWqcVQNTYN1JbA5hj4w-FI6oTNGZk", "El Fascinante Mundo De Lo Oculto")</f>
        <v>0</v>
      </c>
      <c r="B770" t="s">
        <v>131</v>
      </c>
      <c r="C770" t="s">
        <v>1238</v>
      </c>
      <c r="D770" t="s">
        <v>2549</v>
      </c>
      <c r="E770" t="s">
        <v>3117</v>
      </c>
      <c r="F770" t="s">
        <v>3130</v>
      </c>
      <c r="G770" s="2" t="s">
        <v>3900</v>
      </c>
      <c r="H770">
        <v>6.755E-05</v>
      </c>
      <c r="I770">
        <v>0.00010955</v>
      </c>
      <c r="J770">
        <v>0.0001771</v>
      </c>
    </row>
    <row r="771" spans="1:10">
      <c r="A771">
        <f>HYPERLINK("https://mega.nz/file/LN9ECbBJ#Q63uGLh52wnkJ-TGeyJCFTsZ1a8t-k3Xgk0PSYcDDdQ", "El Fascinante Mundo De Lo Oculto")</f>
        <v>0</v>
      </c>
      <c r="B771" t="s">
        <v>131</v>
      </c>
      <c r="C771" t="s">
        <v>1238</v>
      </c>
      <c r="D771" t="s">
        <v>2550</v>
      </c>
      <c r="E771" t="s">
        <v>3117</v>
      </c>
      <c r="F771" t="s">
        <v>3130</v>
      </c>
      <c r="G771" s="2" t="s">
        <v>3901</v>
      </c>
      <c r="H771">
        <v>6.755E-05</v>
      </c>
      <c r="I771">
        <v>6.125E-05</v>
      </c>
      <c r="J771">
        <v>0.0001288</v>
      </c>
    </row>
    <row r="772" spans="1:10">
      <c r="A772">
        <f>HYPERLINK("https://mega.nz/file/KEdwwboB#dBURaRpWnPcmhsmYgBJ6-sLgxlPn1kbcs2aOPefU6zc", "Grandes Temas De Lo Oculto Y Lo Insolito")</f>
        <v>0</v>
      </c>
      <c r="B772" t="s">
        <v>131</v>
      </c>
      <c r="C772" t="s">
        <v>1239</v>
      </c>
      <c r="D772" t="s">
        <v>2551</v>
      </c>
      <c r="E772" t="s">
        <v>3117</v>
      </c>
      <c r="F772" t="s">
        <v>3130</v>
      </c>
      <c r="G772" s="2" t="s">
        <v>3902</v>
      </c>
      <c r="H772">
        <v>7.07E-05</v>
      </c>
      <c r="I772">
        <v>6.09E-05</v>
      </c>
      <c r="J772">
        <v>0.0001316</v>
      </c>
    </row>
    <row r="773" spans="1:10">
      <c r="A773">
        <f>HYPERLINK("https://mega.nz/file/zNECxLAZ#ucIIwu1Rn-ZGyaTZomRsdulYWyEDSrVLYiLowHOOMVY", "Nox Infernus")</f>
        <v>0</v>
      </c>
      <c r="B773" t="s">
        <v>132</v>
      </c>
      <c r="C773" t="s">
        <v>1240</v>
      </c>
      <c r="D773" t="s">
        <v>2552</v>
      </c>
      <c r="E773" t="s">
        <v>3117</v>
      </c>
      <c r="F773" t="s">
        <v>3131</v>
      </c>
      <c r="G773" s="2" t="s">
        <v>3903</v>
      </c>
      <c r="H773">
        <v>5.915E-05</v>
      </c>
      <c r="I773">
        <v>5.25E-05</v>
      </c>
      <c r="J773">
        <v>0.00011165</v>
      </c>
    </row>
    <row r="774" spans="1:10">
      <c r="A774">
        <f>HYPERLINK("https://mega.nz/file/DI9nhC6S#-NYzMuCw9se7dvjGlcKiCrxAxuFpDtnV8VemZlNqjIc", "Living in the heart")</f>
        <v>0</v>
      </c>
      <c r="B774" t="s">
        <v>133</v>
      </c>
      <c r="C774" t="s">
        <v>1241</v>
      </c>
      <c r="D774" t="s">
        <v>2553</v>
      </c>
      <c r="E774" t="s">
        <v>3117</v>
      </c>
      <c r="F774" t="s">
        <v>3131</v>
      </c>
      <c r="G774" s="2" t="s">
        <v>3904</v>
      </c>
      <c r="H774">
        <v>6.475E-05</v>
      </c>
      <c r="I774">
        <v>5.39E-05</v>
      </c>
      <c r="J774">
        <v>0.00011865</v>
      </c>
    </row>
    <row r="775" spans="1:10">
      <c r="A775">
        <f>HYPERLINK("https://mega.nz/file/aF8zFDwT#Cr13DWEn-zPA_mMvS37iSWL9hc_gzR9eH-gkE0WZeAU", "Merkaba Meditation")</f>
        <v>0</v>
      </c>
      <c r="B775" t="s">
        <v>133</v>
      </c>
      <c r="C775" t="s">
        <v>1242</v>
      </c>
      <c r="D775" t="s">
        <v>2554</v>
      </c>
      <c r="E775" t="s">
        <v>3117</v>
      </c>
      <c r="F775" t="s">
        <v>3131</v>
      </c>
      <c r="G775" s="2" t="s">
        <v>3905</v>
      </c>
      <c r="H775">
        <v>6.265E-05</v>
      </c>
      <c r="I775">
        <v>5.215E-05</v>
      </c>
      <c r="J775">
        <v>0.0001148</v>
      </c>
    </row>
    <row r="776" spans="1:10">
      <c r="A776">
        <f>HYPERLINK("https://mega.nz/file/3QchgLZJ#ePXgrBIRzCDeoBUIfFdG7xoQG3aDlXfCfp_tJo_nSnE", "Mother Earth, New Consciousness and Sacred Water")</f>
        <v>0</v>
      </c>
      <c r="B776" t="s">
        <v>133</v>
      </c>
      <c r="C776" t="s">
        <v>1243</v>
      </c>
      <c r="D776" t="s">
        <v>2555</v>
      </c>
      <c r="E776" t="s">
        <v>3117</v>
      </c>
      <c r="F776" t="s">
        <v>3131</v>
      </c>
      <c r="G776" s="2" t="s">
        <v>3906</v>
      </c>
      <c r="H776">
        <v>7.279999999999999E-05</v>
      </c>
      <c r="I776">
        <v>5.32E-05</v>
      </c>
      <c r="J776">
        <v>0.000126</v>
      </c>
    </row>
    <row r="777" spans="1:10">
      <c r="A777">
        <f>HYPERLINK("https://mega.nz/file/KUUhELiY#kJrP-aKuwkVDIl_1wycKSoGE5rdavL552EFE675_cm0", "The Ancient Secret of the Flower of Life, Volume 1")</f>
        <v>0</v>
      </c>
      <c r="B777" t="s">
        <v>133</v>
      </c>
      <c r="C777" t="s">
        <v>1244</v>
      </c>
      <c r="D777" t="s">
        <v>2556</v>
      </c>
      <c r="E777" t="s">
        <v>3117</v>
      </c>
      <c r="F777" t="s">
        <v>3131</v>
      </c>
      <c r="G777" s="2" t="s">
        <v>3907</v>
      </c>
      <c r="H777">
        <v>7.21E-05</v>
      </c>
      <c r="I777">
        <v>5.81E-05</v>
      </c>
      <c r="J777">
        <v>0.0001302</v>
      </c>
    </row>
    <row r="778" spans="1:10">
      <c r="A778">
        <f>HYPERLINK("https://mega.nz/file/SJV23CTZ#H58KYIRWUr7iKhhnq6_X0oSxm2Lbf6m3dGsxOWfmWFk", "The Key to Solomon's Key")</f>
        <v>0</v>
      </c>
      <c r="B778" t="s">
        <v>134</v>
      </c>
      <c r="C778" t="s">
        <v>1245</v>
      </c>
      <c r="D778" t="s">
        <v>2557</v>
      </c>
      <c r="E778" t="s">
        <v>3117</v>
      </c>
      <c r="F778" t="s">
        <v>3131</v>
      </c>
      <c r="G778" s="2" t="s">
        <v>3908</v>
      </c>
      <c r="H778">
        <v>6.265E-05</v>
      </c>
      <c r="I778">
        <v>5.355E-05</v>
      </c>
      <c r="J778">
        <v>0.0001162</v>
      </c>
    </row>
    <row r="779" spans="1:10">
      <c r="A779">
        <f>HYPERLINK("https://mega.nz/file/yVlXSZiJ#PyR38zO5IVCqaHVhENdDfTjoCkA-VRP6YZ5wV7-wHUk", "Ciencia Secreta")</f>
        <v>0</v>
      </c>
      <c r="B779" t="s">
        <v>135</v>
      </c>
      <c r="C779" t="s">
        <v>1246</v>
      </c>
      <c r="D779" t="s">
        <v>2558</v>
      </c>
      <c r="E779" t="s">
        <v>3117</v>
      </c>
      <c r="F779" t="s">
        <v>3131</v>
      </c>
      <c r="G779" s="2" t="s">
        <v>3909</v>
      </c>
      <c r="H779">
        <v>6.055E-05</v>
      </c>
      <c r="I779">
        <v>5.425E-05</v>
      </c>
      <c r="J779">
        <v>0.0001148</v>
      </c>
    </row>
    <row r="780" spans="1:10">
      <c r="A780">
        <f>HYPERLINK("https://mega.nz/file/rI9zyRJa#QxC0Gyy-XzG-Cq790x-SPyDZFTEJKJuwg5XL2or4gpI", "Misterios Iniciaticos")</f>
        <v>0</v>
      </c>
      <c r="B780" t="s">
        <v>135</v>
      </c>
      <c r="C780" t="s">
        <v>1247</v>
      </c>
      <c r="D780" t="s">
        <v>2559</v>
      </c>
      <c r="E780" t="s">
        <v>3117</v>
      </c>
      <c r="F780" t="s">
        <v>3130</v>
      </c>
      <c r="G780" s="2" t="s">
        <v>3910</v>
      </c>
      <c r="H780">
        <v>6.125E-05</v>
      </c>
      <c r="I780">
        <v>5.53E-05</v>
      </c>
      <c r="J780">
        <v>0.00011655</v>
      </c>
    </row>
    <row r="781" spans="1:10">
      <c r="A781">
        <f>HYPERLINK("https://mega.nz/file/jNEHzYAS#ogMjBDEnr5C7yr_bDr8veCCyxcYxX46j3pLO-FUyUkw", "Paganos y Cristianos en una Epoca de Angustia")</f>
        <v>0</v>
      </c>
      <c r="B781" t="s">
        <v>136</v>
      </c>
      <c r="C781" t="s">
        <v>1248</v>
      </c>
      <c r="D781" t="s">
        <v>2560</v>
      </c>
      <c r="E781" t="s">
        <v>3117</v>
      </c>
      <c r="F781" t="s">
        <v>3130</v>
      </c>
      <c r="G781" s="2" t="s">
        <v>3911</v>
      </c>
      <c r="H781">
        <v>7.49E-05</v>
      </c>
      <c r="I781">
        <v>6.545000000000001E-05</v>
      </c>
      <c r="J781">
        <v>0.00014035</v>
      </c>
    </row>
    <row r="782" spans="1:10">
      <c r="A782">
        <f>HYPERLINK("https://mega.nz/file/eEsigKqQ#PK3V0U-S7_MsYh8kP216gUfttDhjLSCRsNIzaiD8ht4", "El misterio de las coincidencias")</f>
        <v>0</v>
      </c>
      <c r="B782" t="s">
        <v>137</v>
      </c>
      <c r="C782" t="s">
        <v>1249</v>
      </c>
      <c r="D782" t="s">
        <v>2561</v>
      </c>
      <c r="E782" t="s">
        <v>3117</v>
      </c>
      <c r="F782" t="s">
        <v>3130</v>
      </c>
      <c r="G782" s="2" t="s">
        <v>3912</v>
      </c>
      <c r="H782">
        <v>6.65E-05</v>
      </c>
      <c r="I782">
        <v>7.105000000000001E-05</v>
      </c>
      <c r="J782">
        <v>0.00013755</v>
      </c>
    </row>
    <row r="783" spans="1:10">
      <c r="A783">
        <f>HYPERLINK("https://mega.nz/file/vMFzlaaR#7YPXSXhhG4qfHE6xDgsYxOSH7IrF1BNgGNQlB-DkEzo", "El Chamanismo y las tecnicas arcaicas del extasis")</f>
        <v>0</v>
      </c>
      <c r="B783" t="s">
        <v>138</v>
      </c>
      <c r="C783" t="s">
        <v>1250</v>
      </c>
      <c r="D783" t="s">
        <v>2562</v>
      </c>
      <c r="E783" t="s">
        <v>3117</v>
      </c>
      <c r="F783" t="s">
        <v>3130</v>
      </c>
      <c r="G783" s="2" t="s">
        <v>3913</v>
      </c>
      <c r="H783">
        <v>7.14E-05</v>
      </c>
      <c r="I783">
        <v>6.195E-05</v>
      </c>
      <c r="J783">
        <v>0.00013335</v>
      </c>
    </row>
    <row r="784" spans="1:10">
      <c r="A784">
        <f>HYPERLINK("https://mega.nz/file/mE9QhBQR#FMhGd0wLm1x7ZLaUzrw5NKETN9j8lOYSSTXE2l95dEg", "Imagenes Y Simbolos")</f>
        <v>0</v>
      </c>
      <c r="B784" t="s">
        <v>139</v>
      </c>
      <c r="C784" t="s">
        <v>1251</v>
      </c>
      <c r="D784" t="s">
        <v>2563</v>
      </c>
      <c r="E784" t="s">
        <v>3117</v>
      </c>
      <c r="F784" t="s">
        <v>3130</v>
      </c>
      <c r="G784" s="2" t="s">
        <v>3914</v>
      </c>
      <c r="H784">
        <v>6.334999999999999E-05</v>
      </c>
      <c r="I784">
        <v>6.334999999999999E-05</v>
      </c>
      <c r="J784">
        <v>0.0001267</v>
      </c>
    </row>
    <row r="785" spans="1:10">
      <c r="A785">
        <f>HYPERLINK("https://mega.nz/file/WMEgGbwb#nkYiQmhW2uGf1Q49uQWuFz0ZvpQPD5tDHyMoQk0dRxM", "historia de las creencias religiosas")</f>
        <v>0</v>
      </c>
      <c r="B785" t="s">
        <v>140</v>
      </c>
      <c r="C785" t="s">
        <v>1252</v>
      </c>
      <c r="D785" t="s">
        <v>2564</v>
      </c>
      <c r="E785" t="s">
        <v>3117</v>
      </c>
      <c r="F785" t="s">
        <v>3130</v>
      </c>
      <c r="G785" s="2" t="s">
        <v>3915</v>
      </c>
      <c r="H785">
        <v>6.439999999999999E-05</v>
      </c>
      <c r="I785">
        <v>6.439999999999999E-05</v>
      </c>
      <c r="J785">
        <v>0.0001288</v>
      </c>
    </row>
    <row r="786" spans="1:10">
      <c r="A786">
        <f>HYPERLINK("https://mega.nz/file/GcMH3TaY#Qlul1KkznU5rBPAC8N2MCs5BIy_YY1-1HWau83-dfaY", "La Tierra Es Hueca")</f>
        <v>0</v>
      </c>
      <c r="B786" t="s">
        <v>141</v>
      </c>
      <c r="C786" t="s">
        <v>1253</v>
      </c>
      <c r="D786" t="s">
        <v>2565</v>
      </c>
      <c r="E786" t="s">
        <v>3117</v>
      </c>
      <c r="F786" t="s">
        <v>3130</v>
      </c>
      <c r="G786" s="2" t="s">
        <v>3916</v>
      </c>
      <c r="H786">
        <v>6.055E-05</v>
      </c>
      <c r="I786">
        <v>5.845E-05</v>
      </c>
      <c r="J786">
        <v>0.000119</v>
      </c>
    </row>
    <row r="787" spans="1:10">
      <c r="A787">
        <f>HYPERLINK("https://mega.nz/file/vJsGjYBb#FypbZOFiQ5FZaxsPCbUJWMtr1Xq7-K_Jnle1AHhxdEU", "curso filosofia oculta")</f>
        <v>0</v>
      </c>
      <c r="B787" t="s">
        <v>142</v>
      </c>
      <c r="C787" t="s">
        <v>1254</v>
      </c>
      <c r="D787" t="s">
        <v>2566</v>
      </c>
      <c r="E787" t="s">
        <v>3117</v>
      </c>
      <c r="F787" t="s">
        <v>3131</v>
      </c>
      <c r="G787" s="2" t="s">
        <v>3917</v>
      </c>
      <c r="H787">
        <v>6.09E-05</v>
      </c>
      <c r="I787">
        <v>5.985E-05</v>
      </c>
      <c r="J787">
        <v>0.00012075</v>
      </c>
    </row>
    <row r="788" spans="1:10">
      <c r="A788">
        <f>HYPERLINK("https://mega.nz/file/3ZdmUY6L#cx3cJpYyAuIsw-0JufxLWcI0t2uU4j7MOf2XpYWrodQ", "Dogma e Ritual de Alta Magia")</f>
        <v>0</v>
      </c>
      <c r="B788" t="s">
        <v>142</v>
      </c>
      <c r="C788" t="s">
        <v>1255</v>
      </c>
      <c r="D788" t="s">
        <v>2567</v>
      </c>
      <c r="E788" t="s">
        <v>3117</v>
      </c>
      <c r="F788" t="s">
        <v>3130</v>
      </c>
      <c r="G788" s="2" t="s">
        <v>3918</v>
      </c>
      <c r="H788">
        <v>6.405E-05</v>
      </c>
      <c r="I788">
        <v>6.265E-05</v>
      </c>
      <c r="J788">
        <v>0.0001267</v>
      </c>
    </row>
    <row r="789" spans="1:10">
      <c r="A789">
        <f>HYPERLINK("https://mega.nz/file/WA0QkCDb#6F7QtQts1q3C2rhwT_Oo2oD4Y7E9BFea3h56KvdB2GU", "Dogma y Ritual de Alta Magia")</f>
        <v>0</v>
      </c>
      <c r="B789" t="s">
        <v>142</v>
      </c>
      <c r="C789" t="s">
        <v>1256</v>
      </c>
      <c r="D789" t="s">
        <v>2568</v>
      </c>
      <c r="E789" t="s">
        <v>3117</v>
      </c>
      <c r="F789" t="s">
        <v>3130</v>
      </c>
      <c r="G789" s="2" t="s">
        <v>3919</v>
      </c>
      <c r="H789">
        <v>6.58E-05</v>
      </c>
      <c r="I789">
        <v>6.334999999999999E-05</v>
      </c>
      <c r="J789">
        <v>0.00012915</v>
      </c>
    </row>
    <row r="790" spans="1:10">
      <c r="A790">
        <f>HYPERLINK("https://mega.nz/file/CZ1EwYDI#zxCQZiVm07bd8jI3aTrfmU06NQsJLcQOl2ZhYP3VVt4", "Dogma y Ritual de Alta Magia")</f>
        <v>0</v>
      </c>
      <c r="B790" t="s">
        <v>142</v>
      </c>
      <c r="C790" t="s">
        <v>1256</v>
      </c>
      <c r="D790" t="s">
        <v>2569</v>
      </c>
      <c r="E790" t="s">
        <v>3117</v>
      </c>
      <c r="F790" t="s">
        <v>3130</v>
      </c>
      <c r="G790" s="2" t="s">
        <v>3920</v>
      </c>
      <c r="H790">
        <v>6.51E-05</v>
      </c>
      <c r="I790">
        <v>6.405E-05</v>
      </c>
      <c r="J790">
        <v>0.00012915</v>
      </c>
    </row>
    <row r="791" spans="1:10">
      <c r="A791">
        <f>HYPERLINK("https://mega.nz/file/yBl0jIib#EinWtDRjRzGHulOoBspMbU8qyUHecAWKzQ32wtuoJyo", "Dogma y Ritual de la Alta Magia")</f>
        <v>0</v>
      </c>
      <c r="B791" t="s">
        <v>142</v>
      </c>
      <c r="C791" t="s">
        <v>1257</v>
      </c>
      <c r="D791" t="s">
        <v>2570</v>
      </c>
      <c r="E791" t="s">
        <v>3117</v>
      </c>
      <c r="F791" t="s">
        <v>3130</v>
      </c>
      <c r="G791" s="2" t="s">
        <v>3921</v>
      </c>
      <c r="H791">
        <v>6.58E-05</v>
      </c>
      <c r="I791">
        <v>6.160000000000001E-05</v>
      </c>
      <c r="J791">
        <v>0.0001274</v>
      </c>
    </row>
    <row r="792" spans="1:10">
      <c r="A792">
        <f>HYPERLINK("https://mega.nz/file/uA1VyBLI#Bthuq7NjBN23KzPKS7ftstJFCZh7tcVV1GGSaWXi2B4", "Dogma y Ritual de la Alta Magia")</f>
        <v>0</v>
      </c>
      <c r="B792" t="s">
        <v>142</v>
      </c>
      <c r="C792" t="s">
        <v>1257</v>
      </c>
      <c r="D792" t="s">
        <v>2571</v>
      </c>
      <c r="E792" t="s">
        <v>3117</v>
      </c>
      <c r="F792" t="s">
        <v>3130</v>
      </c>
      <c r="G792" s="2" t="s">
        <v>3922</v>
      </c>
      <c r="H792">
        <v>6.545000000000001E-05</v>
      </c>
      <c r="I792">
        <v>6.65E-05</v>
      </c>
      <c r="J792">
        <v>0.00013195</v>
      </c>
    </row>
    <row r="793" spans="1:10">
      <c r="A793">
        <f>HYPERLINK("https://mega.nz/file/HVlDhbLC#pFGYxjmsLBojeEbIKcuQ8n3WfirCoXad0xD7MciMhzo", "Dogma y Ritual de la Alta Magia")</f>
        <v>0</v>
      </c>
      <c r="B793" t="s">
        <v>142</v>
      </c>
      <c r="C793" t="s">
        <v>1257</v>
      </c>
      <c r="D793" t="s">
        <v>2572</v>
      </c>
      <c r="E793" t="s">
        <v>3117</v>
      </c>
      <c r="F793" t="s">
        <v>3130</v>
      </c>
      <c r="G793" s="2" t="s">
        <v>3923</v>
      </c>
      <c r="H793">
        <v>6.334999999999999E-05</v>
      </c>
      <c r="I793">
        <v>6.51E-05</v>
      </c>
      <c r="J793">
        <v>0.00012845</v>
      </c>
    </row>
    <row r="794" spans="1:10">
      <c r="A794">
        <f>HYPERLINK("https://mega.nz/file/rc9AjBLL#vxIgpXXfW6xQFxPbDrPqX3HHd4T4GYAbaYhwNcuW_V0", "El Gran Arcano")</f>
        <v>0</v>
      </c>
      <c r="B794" t="s">
        <v>142</v>
      </c>
      <c r="C794" t="s">
        <v>1258</v>
      </c>
      <c r="D794" t="s">
        <v>2573</v>
      </c>
      <c r="E794" t="s">
        <v>3117</v>
      </c>
      <c r="F794" t="s">
        <v>3130</v>
      </c>
      <c r="G794" s="2" t="s">
        <v>3924</v>
      </c>
      <c r="H794">
        <v>6.02E-05</v>
      </c>
      <c r="I794">
        <v>5.705E-05</v>
      </c>
      <c r="J794">
        <v>0.00011725</v>
      </c>
    </row>
    <row r="795" spans="1:10">
      <c r="A795">
        <f>HYPERLINK("https://mega.nz/file/iVFDVArZ#KUBJc6haYlQ2PUMif43OUVNXBHTZk9IYANLd40PRtZQ", "El Libro de los Sabios")</f>
        <v>0</v>
      </c>
      <c r="B795" t="s">
        <v>142</v>
      </c>
      <c r="C795" t="s">
        <v>1259</v>
      </c>
      <c r="D795" t="s">
        <v>2574</v>
      </c>
      <c r="E795" t="s">
        <v>3117</v>
      </c>
      <c r="F795" t="s">
        <v>3130</v>
      </c>
      <c r="G795" s="2" t="s">
        <v>3925</v>
      </c>
      <c r="H795">
        <v>6.3E-05</v>
      </c>
      <c r="I795">
        <v>5.845E-05</v>
      </c>
      <c r="J795">
        <v>0.00012145</v>
      </c>
    </row>
    <row r="796" spans="1:10">
      <c r="A796">
        <f>HYPERLINK("https://mega.nz/file/eAkQxbhB#2_s0HO9WTCzybbdPnN8jTiCOwp7JSwTr8P6eftICVu0", "Historia de la Magia")</f>
        <v>0</v>
      </c>
      <c r="B796" t="s">
        <v>142</v>
      </c>
      <c r="C796" t="s">
        <v>1260</v>
      </c>
      <c r="D796" t="s">
        <v>2575</v>
      </c>
      <c r="E796" t="s">
        <v>3117</v>
      </c>
      <c r="F796" t="s">
        <v>3130</v>
      </c>
      <c r="G796" s="2" t="s">
        <v>3926</v>
      </c>
      <c r="H796">
        <v>6.160000000000001E-05</v>
      </c>
      <c r="I796">
        <v>6.51E-05</v>
      </c>
      <c r="J796">
        <v>0.0001267</v>
      </c>
    </row>
    <row r="797" spans="1:10">
      <c r="A797">
        <f>HYPERLINK("https://mega.nz/file/mAsFUKLB#2_3qfs2mGHJB750KZaR2v5Z-29mjqOlb-loHhho1ESI", "La clave de los grandes misterios")</f>
        <v>0</v>
      </c>
      <c r="B797" t="s">
        <v>142</v>
      </c>
      <c r="C797" t="s">
        <v>1261</v>
      </c>
      <c r="D797" t="s">
        <v>2576</v>
      </c>
      <c r="E797" t="s">
        <v>3117</v>
      </c>
      <c r="F797" t="s">
        <v>3130</v>
      </c>
      <c r="G797" s="2" t="s">
        <v>3927</v>
      </c>
      <c r="H797">
        <v>6.37E-05</v>
      </c>
      <c r="I797">
        <v>5.6E-05</v>
      </c>
      <c r="J797">
        <v>0.0001197</v>
      </c>
    </row>
    <row r="798" spans="1:10">
      <c r="A798">
        <f>HYPERLINK("https://mega.nz/file/PR9QRKDQ#37zugjzD-2IELMMx6QsGp5O-f6gL3K9i-AtuAEU0qFg", "La Clave de los Grandes Misterios")</f>
        <v>0</v>
      </c>
      <c r="B798" t="s">
        <v>142</v>
      </c>
      <c r="C798" t="s">
        <v>1262</v>
      </c>
      <c r="D798" t="s">
        <v>2577</v>
      </c>
      <c r="E798" t="s">
        <v>3117</v>
      </c>
      <c r="F798" t="s">
        <v>3130</v>
      </c>
      <c r="G798" s="2" t="s">
        <v>3928</v>
      </c>
      <c r="H798">
        <v>6.475E-05</v>
      </c>
      <c r="I798">
        <v>5.985E-05</v>
      </c>
      <c r="J798">
        <v>0.0001246</v>
      </c>
    </row>
    <row r="799" spans="1:10">
      <c r="A799">
        <f>HYPERLINK("https://mega.nz/file/nBVEAb5I#HWzpdsZr2BFQef5ThpB-zkv78JYl9u0VY2FjhR4TZGM", "Las Clavículas de Salomón")</f>
        <v>0</v>
      </c>
      <c r="B799" t="s">
        <v>142</v>
      </c>
      <c r="C799" t="s">
        <v>1263</v>
      </c>
      <c r="D799" t="s">
        <v>2578</v>
      </c>
      <c r="E799" t="s">
        <v>3117</v>
      </c>
      <c r="F799" t="s">
        <v>3130</v>
      </c>
      <c r="G799" s="2" t="s">
        <v>3929</v>
      </c>
      <c r="H799">
        <v>6.37E-05</v>
      </c>
      <c r="I799">
        <v>6.439999999999999E-05</v>
      </c>
      <c r="J799">
        <v>0.0001281</v>
      </c>
    </row>
    <row r="800" spans="1:10">
      <c r="A800">
        <f>HYPERLINK("https://mega.nz/file/6BMhSLIR#IvZC2ssolfL2x9ZdB4QoRNbymiQJgcQrZsNhhScim9c", "Las paradojas de la alta ciencia")</f>
        <v>0</v>
      </c>
      <c r="B800" t="s">
        <v>142</v>
      </c>
      <c r="C800" t="s">
        <v>1264</v>
      </c>
      <c r="D800" t="s">
        <v>2579</v>
      </c>
      <c r="E800" t="s">
        <v>3117</v>
      </c>
      <c r="F800" t="s">
        <v>3130</v>
      </c>
      <c r="G800" s="2" t="s">
        <v>3930</v>
      </c>
      <c r="H800">
        <v>6.405E-05</v>
      </c>
      <c r="I800">
        <v>5.81E-05</v>
      </c>
      <c r="J800">
        <v>0.00012215</v>
      </c>
    </row>
    <row r="801" spans="1:10">
      <c r="A801">
        <f>HYPERLINK("https://mega.nz/file/fBVhjaJC#ME_PnC87ALCGLY8UHKWX2GT4zQmgB8BCO6oFJ81SOyo", "libro de los esplendores")</f>
        <v>0</v>
      </c>
      <c r="B801" t="s">
        <v>142</v>
      </c>
      <c r="C801" t="s">
        <v>1265</v>
      </c>
      <c r="D801" t="s">
        <v>2580</v>
      </c>
      <c r="E801" t="s">
        <v>3117</v>
      </c>
      <c r="F801" t="s">
        <v>3130</v>
      </c>
      <c r="G801" s="2" t="s">
        <v>3931</v>
      </c>
      <c r="H801">
        <v>6.3E-05</v>
      </c>
      <c r="I801">
        <v>6.055E-05</v>
      </c>
      <c r="J801">
        <v>0.00012355</v>
      </c>
    </row>
    <row r="802" spans="1:10">
      <c r="A802">
        <f>HYPERLINK("https://mega.nz/file/LN0RTQpT#ev54D7j9MAPJX7XPpEkgJPj2Nu1hvHdQitExk1tLQog", "Los Misterios de La Cabala")</f>
        <v>0</v>
      </c>
      <c r="B802" t="s">
        <v>142</v>
      </c>
      <c r="C802" t="s">
        <v>1266</v>
      </c>
      <c r="D802" t="s">
        <v>2581</v>
      </c>
      <c r="E802" t="s">
        <v>3118</v>
      </c>
      <c r="F802" t="s">
        <v>3130</v>
      </c>
      <c r="G802" s="2" t="s">
        <v>3932</v>
      </c>
      <c r="H802">
        <v>6.58E-05</v>
      </c>
      <c r="I802">
        <v>5.81E-05</v>
      </c>
      <c r="J802">
        <v>0.0001239</v>
      </c>
    </row>
    <row r="803" spans="1:10">
      <c r="A803">
        <f>HYPERLINK("https://mega.nz/file/CYEG1IxQ#ZIErsVDAsUnPxYHoTSSLRoakogSxsGBmRgGbsbeu9H0", "Los misterios de la kabbala")</f>
        <v>0</v>
      </c>
      <c r="B803" t="s">
        <v>142</v>
      </c>
      <c r="C803" t="s">
        <v>1267</v>
      </c>
      <c r="D803" t="s">
        <v>2582</v>
      </c>
      <c r="E803" t="s">
        <v>3117</v>
      </c>
      <c r="F803" t="s">
        <v>3130</v>
      </c>
      <c r="G803" s="2" t="s">
        <v>3933</v>
      </c>
      <c r="H803">
        <v>6.405E-05</v>
      </c>
      <c r="I803">
        <v>6.02E-05</v>
      </c>
      <c r="J803">
        <v>0.00012425</v>
      </c>
    </row>
    <row r="804" spans="1:10">
      <c r="A804">
        <f>HYPERLINK("https://mega.nz/file/2JMjFYLS#YI2xdhhTJhPIKYAkzygu4KW9Qb3pwe00ymFDtPZbHrQ", "los vivos y los muertos")</f>
        <v>0</v>
      </c>
      <c r="B804" t="s">
        <v>142</v>
      </c>
      <c r="C804" t="s">
        <v>1268</v>
      </c>
      <c r="D804" t="s">
        <v>2583</v>
      </c>
      <c r="E804" t="s">
        <v>3117</v>
      </c>
      <c r="F804" t="s">
        <v>3130</v>
      </c>
      <c r="G804" s="2" t="s">
        <v>3934</v>
      </c>
      <c r="H804">
        <v>6.195E-05</v>
      </c>
      <c r="I804">
        <v>6.02E-05</v>
      </c>
      <c r="J804">
        <v>0.00012215</v>
      </c>
    </row>
    <row r="805" spans="1:10">
      <c r="A805">
        <f>HYPERLINK("https://mega.nz/file/6clmnICB#9fk24t_L9xId94ypf8IRFf5ZnvUQ4sTv-i8WyXid-mQ", "Ritual magico del santum regnum")</f>
        <v>0</v>
      </c>
      <c r="B805" t="s">
        <v>142</v>
      </c>
      <c r="C805" t="s">
        <v>1269</v>
      </c>
      <c r="D805" t="s">
        <v>2584</v>
      </c>
      <c r="E805" t="s">
        <v>3117</v>
      </c>
      <c r="F805" t="s">
        <v>3130</v>
      </c>
      <c r="G805" s="2" t="s">
        <v>3935</v>
      </c>
      <c r="H805">
        <v>6.58E-05</v>
      </c>
      <c r="I805">
        <v>6.3E-05</v>
      </c>
      <c r="J805">
        <v>0.0001288</v>
      </c>
    </row>
    <row r="806" spans="1:10">
      <c r="A806">
        <f>HYPERLINK("https://mega.nz/file/2A8H1AbT#B5yVEc4ixMUe1Y-cJVSQXOWkUXB0mnxEz0-suApc8rU", "Ice Magick")</f>
        <v>0</v>
      </c>
      <c r="B806" t="s">
        <v>143</v>
      </c>
      <c r="C806" t="s">
        <v>1270</v>
      </c>
      <c r="D806" t="s">
        <v>2585</v>
      </c>
      <c r="E806" t="s">
        <v>3117</v>
      </c>
      <c r="F806" t="s">
        <v>3131</v>
      </c>
      <c r="G806" s="2" t="s">
        <v>3936</v>
      </c>
      <c r="H806">
        <v>5.845E-05</v>
      </c>
      <c r="I806">
        <v>5.635E-05</v>
      </c>
      <c r="J806">
        <v>0.0001148</v>
      </c>
    </row>
    <row r="807" spans="1:10">
      <c r="A807">
        <f>HYPERLINK("https://mega.nz/file/SdsAlYhL#yAYkpcF_HUu9ezI86R3szVZpKhGYpUsFbSVL-NqXZEY", "Mitologia del firmamento Catasterismos")</f>
        <v>0</v>
      </c>
      <c r="B807" t="s">
        <v>144</v>
      </c>
      <c r="C807" t="s">
        <v>1271</v>
      </c>
      <c r="D807" t="s">
        <v>2586</v>
      </c>
      <c r="E807" t="s">
        <v>3117</v>
      </c>
      <c r="F807" t="s">
        <v>3130</v>
      </c>
      <c r="G807" s="2" t="s">
        <v>3937</v>
      </c>
      <c r="H807">
        <v>6.58E-05</v>
      </c>
      <c r="I807">
        <v>6.475E-05</v>
      </c>
      <c r="J807">
        <v>0.00013055</v>
      </c>
    </row>
    <row r="808" spans="1:10">
      <c r="A808">
        <f>HYPERLINK("https://mega.nz/file/3FEzmB4B#ZpdEUQpqmKeh8erhfXqOxjLXsPIoKxzCnYnwJrzRWcI", "Magic History Theory Practice")</f>
        <v>0</v>
      </c>
      <c r="B808" t="s">
        <v>145</v>
      </c>
      <c r="C808" t="s">
        <v>1272</v>
      </c>
      <c r="D808" t="s">
        <v>2587</v>
      </c>
      <c r="E808" t="s">
        <v>3117</v>
      </c>
      <c r="F808" t="s">
        <v>3131</v>
      </c>
      <c r="G808" s="2" t="s">
        <v>3938</v>
      </c>
      <c r="H808">
        <v>6.265E-05</v>
      </c>
      <c r="I808">
        <v>5.075E-05</v>
      </c>
      <c r="J808">
        <v>0.0001134</v>
      </c>
    </row>
    <row r="809" spans="1:10">
      <c r="A809">
        <f>HYPERLINK("https://mega.nz/file/bJN1ATAa#mmMq_oLUDWYcDSXVfkpFxgUocktEQNRF3ZYQ3PiVtag", "Tartessos Y Otros Enigmas De La Historia")</f>
        <v>0</v>
      </c>
      <c r="B809" t="s">
        <v>146</v>
      </c>
      <c r="C809" t="s">
        <v>1273</v>
      </c>
      <c r="D809" t="s">
        <v>2588</v>
      </c>
      <c r="E809" t="s">
        <v>3117</v>
      </c>
      <c r="F809" t="s">
        <v>3130</v>
      </c>
      <c r="G809" s="2" t="s">
        <v>3939</v>
      </c>
      <c r="H809">
        <v>6.999999999999999E-05</v>
      </c>
      <c r="I809">
        <v>6.65E-05</v>
      </c>
      <c r="J809">
        <v>0.0001365</v>
      </c>
    </row>
    <row r="810" spans="1:10">
      <c r="A810">
        <f>HYPERLINK("https://mega.nz/file/iN8jmbIb#yFlf5R14rj7sWYa9EJyi2HmisAfQFKOwjBe37raSUJc", "Los secretos del triunfo sexual")</f>
        <v>0</v>
      </c>
      <c r="B810" t="s">
        <v>147</v>
      </c>
      <c r="C810" t="s">
        <v>1274</v>
      </c>
      <c r="D810" t="s">
        <v>2589</v>
      </c>
      <c r="E810" t="s">
        <v>3117</v>
      </c>
      <c r="F810" t="s">
        <v>3130</v>
      </c>
      <c r="G810" s="2" t="s">
        <v>3940</v>
      </c>
      <c r="H810">
        <v>6.160000000000001E-05</v>
      </c>
      <c r="I810">
        <v>5.775E-05</v>
      </c>
      <c r="J810">
        <v>0.00011935</v>
      </c>
    </row>
    <row r="811" spans="1:10">
      <c r="A811">
        <f>HYPERLINK("https://mega.nz/file/iVtCUS4K#Yop27Gmu1e8L4j57XPnCeowqGhCo-sNU8TeOVRhdOvQ", "Los secretos del triunfo sexual parte 1")</f>
        <v>0</v>
      </c>
      <c r="B811" t="s">
        <v>147</v>
      </c>
      <c r="C811" t="s">
        <v>1275</v>
      </c>
      <c r="D811" t="s">
        <v>2590</v>
      </c>
      <c r="E811" t="s">
        <v>3117</v>
      </c>
      <c r="F811" t="s">
        <v>3130</v>
      </c>
      <c r="G811" s="2" t="s">
        <v>3941</v>
      </c>
      <c r="H811">
        <v>6.37E-05</v>
      </c>
      <c r="I811">
        <v>4.97E-05</v>
      </c>
      <c r="J811">
        <v>0.0001134</v>
      </c>
    </row>
    <row r="812" spans="1:10">
      <c r="A812">
        <f>HYPERLINK("https://mega.nz/file/nJk1xDpQ#vVQtow5uslCT8Dax7BIuMtK3rvzm6RQQ12JYVtwqoWQ", "La Biblia Desenterrada")</f>
        <v>0</v>
      </c>
      <c r="B812" t="s">
        <v>148</v>
      </c>
      <c r="C812" t="s">
        <v>1276</v>
      </c>
      <c r="D812" t="s">
        <v>2591</v>
      </c>
      <c r="E812" t="s">
        <v>3117</v>
      </c>
      <c r="F812" t="s">
        <v>3130</v>
      </c>
      <c r="G812" s="2" t="s">
        <v>3942</v>
      </c>
      <c r="H812">
        <v>6.475E-05</v>
      </c>
      <c r="I812">
        <v>5.915E-05</v>
      </c>
      <c r="J812">
        <v>0.0001239</v>
      </c>
    </row>
    <row r="813" spans="1:10">
      <c r="A813">
        <f>HYPERLINK("https://mega.nz/file/OJsDECgI#hgSBCM8nMm9ZifNb5NHbhok022LBAFTis9OqRnZ-BiY", "Figuras jeroglificas")</f>
        <v>0</v>
      </c>
      <c r="B813" t="s">
        <v>149</v>
      </c>
      <c r="C813" t="s">
        <v>1277</v>
      </c>
      <c r="D813" t="s">
        <v>2592</v>
      </c>
      <c r="E813" t="s">
        <v>3117</v>
      </c>
      <c r="F813" t="s">
        <v>3131</v>
      </c>
      <c r="G813" s="2" t="s">
        <v>3943</v>
      </c>
      <c r="H813">
        <v>6.160000000000001E-05</v>
      </c>
      <c r="I813">
        <v>5.39E-05</v>
      </c>
      <c r="J813">
        <v>0.0001155</v>
      </c>
    </row>
    <row r="814" spans="1:10">
      <c r="A814">
        <f>HYPERLINK("https://mega.nz/file/nEFiBZSB#9F6fnAie_BdfwKJkCrIcuoKG4KyC4s2Fq_tHRwqIjnk", "Construyamos Arcas")</f>
        <v>0</v>
      </c>
      <c r="B814" t="s">
        <v>150</v>
      </c>
      <c r="C814" t="s">
        <v>1278</v>
      </c>
      <c r="D814" t="s">
        <v>2593</v>
      </c>
      <c r="E814" t="s">
        <v>3117</v>
      </c>
      <c r="F814" t="s">
        <v>3131</v>
      </c>
      <c r="G814" s="2" t="s">
        <v>3944</v>
      </c>
      <c r="H814">
        <v>6.439999999999999E-05</v>
      </c>
      <c r="I814">
        <v>5.845E-05</v>
      </c>
      <c r="J814">
        <v>0.00012285</v>
      </c>
    </row>
    <row r="815" spans="1:10">
      <c r="A815">
        <f>HYPERLINK("https://mega.nz/file/vR9VjSgJ#Ck1iCYrZdmqtRvuhRpbNq98_buEJkAVIU_lJHqzH3iA", "Book of Cain")</f>
        <v>0</v>
      </c>
      <c r="B815" t="s">
        <v>151</v>
      </c>
      <c r="C815" t="s">
        <v>1279</v>
      </c>
      <c r="D815" t="s">
        <v>2594</v>
      </c>
      <c r="E815" t="s">
        <v>3117</v>
      </c>
      <c r="F815" t="s">
        <v>3131</v>
      </c>
      <c r="G815" s="2" t="s">
        <v>3945</v>
      </c>
      <c r="H815">
        <v>5.845E-05</v>
      </c>
      <c r="I815">
        <v>5.005E-05</v>
      </c>
      <c r="J815">
        <v>0.0001085</v>
      </c>
    </row>
    <row r="816" spans="1:10">
      <c r="A816">
        <f>HYPERLINK("https://mega.nz/file/SEtijZRL#B7KOmMScSGe2KU98ywsEE7tsLwMyaFh7FFbXvqZdv4c", "Fly the Light")</f>
        <v>0</v>
      </c>
      <c r="B816" t="s">
        <v>151</v>
      </c>
      <c r="C816" t="s">
        <v>1280</v>
      </c>
      <c r="D816" t="s">
        <v>2595</v>
      </c>
      <c r="E816" t="s">
        <v>3117</v>
      </c>
      <c r="F816" t="s">
        <v>3131</v>
      </c>
      <c r="G816" s="2" t="s">
        <v>3946</v>
      </c>
      <c r="H816">
        <v>5.355E-05</v>
      </c>
      <c r="I816">
        <v>5.075E-05</v>
      </c>
      <c r="J816">
        <v>0.0001043</v>
      </c>
    </row>
    <row r="817" spans="1:10">
      <c r="A817">
        <f>HYPERLINK("https://mega.nz/file/yBFXlAAZ#ggd9tE3mFey38CdnKaWySi7LByEDGk78U2oQISpra3w", "Infernal Sabbat Live")</f>
        <v>0</v>
      </c>
      <c r="B817" t="s">
        <v>151</v>
      </c>
      <c r="C817" t="s">
        <v>1281</v>
      </c>
      <c r="D817" t="s">
        <v>2596</v>
      </c>
      <c r="E817" t="s">
        <v>3127</v>
      </c>
      <c r="F817" t="s">
        <v>3131</v>
      </c>
      <c r="G817" s="2" t="s">
        <v>3947</v>
      </c>
      <c r="H817">
        <v>6.055E-05</v>
      </c>
      <c r="I817">
        <v>5.705E-05</v>
      </c>
      <c r="J817">
        <v>0.0001176</v>
      </c>
    </row>
    <row r="818" spans="1:10">
      <c r="A818">
        <f>HYPERLINK("https://mega.nz/file/zdNGQRRR#YPZY5aFXFWYwbUkJPfl3nAyXv0lpp0seQByLadyoC98", "Interview")</f>
        <v>0</v>
      </c>
      <c r="B818" t="s">
        <v>151</v>
      </c>
      <c r="C818" t="s">
        <v>1282</v>
      </c>
      <c r="D818" t="s">
        <v>2597</v>
      </c>
      <c r="E818" t="s">
        <v>3117</v>
      </c>
      <c r="F818" t="s">
        <v>3131</v>
      </c>
      <c r="G818" s="2" t="s">
        <v>3948</v>
      </c>
      <c r="H818">
        <v>5.635E-05</v>
      </c>
      <c r="I818">
        <v>5.285E-05</v>
      </c>
      <c r="J818">
        <v>0.0001092</v>
      </c>
    </row>
    <row r="819" spans="1:10">
      <c r="A819">
        <f>HYPERLINK("https://mega.nz/file/rAdFyRrR#XB3IM1YPWfl4VIXbKUYx0u-q5itpxjpdvvVVLZ5EojQ", "Maskim Hul")</f>
        <v>0</v>
      </c>
      <c r="B819" t="s">
        <v>151</v>
      </c>
      <c r="C819" t="s">
        <v>1283</v>
      </c>
      <c r="D819" t="s">
        <v>2598</v>
      </c>
      <c r="E819" t="s">
        <v>3117</v>
      </c>
      <c r="F819" t="s">
        <v>3131</v>
      </c>
      <c r="G819" s="2" t="s">
        <v>3949</v>
      </c>
      <c r="H819">
        <v>5.845E-05</v>
      </c>
      <c r="I819">
        <v>5.075E-05</v>
      </c>
      <c r="J819">
        <v>0.0001092</v>
      </c>
    </row>
    <row r="820" spans="1:10">
      <c r="A820">
        <f>HYPERLINK("https://mega.nz/file/jEcnlBZI#KHzzZyBsgWVa6Hm1VTmgBhQTi6yfAkua493EZEJb65g", "Paitisha")</f>
        <v>0</v>
      </c>
      <c r="B820" t="s">
        <v>151</v>
      </c>
      <c r="C820" t="s">
        <v>1284</v>
      </c>
      <c r="D820" t="s">
        <v>2599</v>
      </c>
      <c r="E820" t="s">
        <v>3117</v>
      </c>
      <c r="F820" t="s">
        <v>3131</v>
      </c>
      <c r="G820" s="2" t="s">
        <v>3950</v>
      </c>
      <c r="H820">
        <v>5.845E-05</v>
      </c>
      <c r="I820">
        <v>5.915E-05</v>
      </c>
      <c r="J820">
        <v>0.0001176</v>
      </c>
    </row>
    <row r="821" spans="1:10">
      <c r="A821">
        <f>HYPERLINK("https://mega.nz/file/6d8TULJA#aY0caQBZbs3n-rlVajMTjjeAjWz4tIfzOdbuaaC3Y-c", "Luciferian Tantra &amp; Sex Magick")</f>
        <v>0</v>
      </c>
      <c r="B821" t="s">
        <v>152</v>
      </c>
      <c r="C821" t="s">
        <v>1285</v>
      </c>
      <c r="D821" t="s">
        <v>2600</v>
      </c>
      <c r="E821" t="s">
        <v>3127</v>
      </c>
      <c r="F821" t="s">
        <v>3131</v>
      </c>
      <c r="G821" s="2" t="s">
        <v>3951</v>
      </c>
      <c r="H821">
        <v>6.755E-05</v>
      </c>
      <c r="I821">
        <v>5.25E-05</v>
      </c>
      <c r="J821">
        <v>0.00012005</v>
      </c>
    </row>
    <row r="822" spans="1:10">
      <c r="A822">
        <f>HYPERLINK("https://mega.nz/file/KE8j1CSb#TD1utf9noPJatNlL-xYjmZmDVyoQEVg2IAgLAZzQf7Y", "Hermetic Renaissance in the Documents Held in the Warburg Institute Archvie")</f>
        <v>0</v>
      </c>
      <c r="B822" t="s">
        <v>153</v>
      </c>
      <c r="C822" t="s">
        <v>1286</v>
      </c>
      <c r="D822" t="s">
        <v>2601</v>
      </c>
      <c r="E822" t="s">
        <v>3117</v>
      </c>
      <c r="F822" t="s">
        <v>3131</v>
      </c>
      <c r="G822" s="2" t="s">
        <v>3952</v>
      </c>
      <c r="H822">
        <v>6.93E-05</v>
      </c>
      <c r="I822">
        <v>5.215E-05</v>
      </c>
      <c r="J822">
        <v>0.00012145</v>
      </c>
    </row>
    <row r="823" spans="1:10">
      <c r="A823">
        <f>HYPERLINK("https://mega.nz/file/TdV2jRYB#4vaYmcKW84xsxplkn0UnFlgWarPxG56ebzWd3GFRfwU", "Technics of High Magic")</f>
        <v>0</v>
      </c>
      <c r="B823" t="s">
        <v>154</v>
      </c>
      <c r="C823" t="s">
        <v>1287</v>
      </c>
      <c r="D823" t="s">
        <v>2602</v>
      </c>
      <c r="E823" t="s">
        <v>3117</v>
      </c>
      <c r="F823" t="s">
        <v>3131</v>
      </c>
      <c r="G823" s="2" t="s">
        <v>3953</v>
      </c>
      <c r="H823">
        <v>5.95E-05</v>
      </c>
      <c r="I823">
        <v>5.25E-05</v>
      </c>
      <c r="J823">
        <v>0.000112</v>
      </c>
    </row>
    <row r="824" spans="1:10">
      <c r="A824">
        <f>HYPERLINK("https://mega.nz/file/PFtnBIzC#b1fkYHRtCy5-92_LO26RYojg1es6Ma4tyuSUys-elec", "Psico Astrologia O Astroteurgia")</f>
        <v>0</v>
      </c>
      <c r="B824" t="s">
        <v>155</v>
      </c>
      <c r="C824" t="s">
        <v>1288</v>
      </c>
      <c r="D824" t="s">
        <v>2603</v>
      </c>
      <c r="E824" t="s">
        <v>3121</v>
      </c>
      <c r="F824" t="s">
        <v>3131</v>
      </c>
      <c r="G824" s="2" t="s">
        <v>3954</v>
      </c>
      <c r="H824">
        <v>6.615E-05</v>
      </c>
      <c r="I824">
        <v>5.215E-05</v>
      </c>
      <c r="J824">
        <v>0.0001183</v>
      </c>
    </row>
    <row r="825" spans="1:10">
      <c r="A825">
        <f>HYPERLINK("https://mega.nz/file/WB8yWbyT#Aojf4YM1faQXJq361ZE1F7WSAO7cnclQ7DB-SYR4G3k", "Principios De Geomancia Astrológica")</f>
        <v>0</v>
      </c>
      <c r="B825" t="s">
        <v>156</v>
      </c>
      <c r="C825" t="s">
        <v>1289</v>
      </c>
      <c r="D825" t="s">
        <v>2604</v>
      </c>
      <c r="E825" t="s">
        <v>3117</v>
      </c>
      <c r="F825" t="s">
        <v>3130</v>
      </c>
      <c r="G825" s="2" t="s">
        <v>3955</v>
      </c>
      <c r="H825">
        <v>6.65E-05</v>
      </c>
      <c r="I825">
        <v>5.005E-05</v>
      </c>
      <c r="J825">
        <v>0.00011655</v>
      </c>
    </row>
    <row r="826" spans="1:10">
      <c r="A826">
        <f>HYPERLINK("https://mega.nz/file/eBdx3a6D#UQWinOrrl7niyZYbDJIPB3QAkddN14ABU5ABApr2U9U", "The Mystic Grimoire Of Mighty Spells and Rituals")</f>
        <v>0</v>
      </c>
      <c r="B826" t="s">
        <v>157</v>
      </c>
      <c r="C826" t="s">
        <v>1290</v>
      </c>
      <c r="D826" t="s">
        <v>2605</v>
      </c>
      <c r="E826" t="s">
        <v>3117</v>
      </c>
      <c r="F826" t="s">
        <v>3131</v>
      </c>
      <c r="G826" s="2" t="s">
        <v>3956</v>
      </c>
      <c r="H826">
        <v>6.895E-05</v>
      </c>
      <c r="I826">
        <v>5.565E-05</v>
      </c>
      <c r="J826">
        <v>0.0001246</v>
      </c>
    </row>
    <row r="827" spans="1:10">
      <c r="A827">
        <f>HYPERLINK("https://mega.nz/file/vFNXkQJB#ZS0h4MSXp3bExpScey8oN6qM0bNxA0zvOelVDaLatCE", "Agents of Manifestation at the Edge of Chaos")</f>
        <v>0</v>
      </c>
      <c r="B827" t="s">
        <v>158</v>
      </c>
      <c r="C827" t="s">
        <v>1291</v>
      </c>
      <c r="D827" t="s">
        <v>2606</v>
      </c>
      <c r="E827" t="s">
        <v>3117</v>
      </c>
      <c r="F827" t="s">
        <v>3131</v>
      </c>
      <c r="G827" s="2" t="s">
        <v>3957</v>
      </c>
      <c r="H827">
        <v>6.475E-05</v>
      </c>
      <c r="I827">
        <v>5.075E-05</v>
      </c>
      <c r="J827">
        <v>0.0001155</v>
      </c>
    </row>
    <row r="828" spans="1:10">
      <c r="A828">
        <f>HYPERLINK("https://mega.nz/file/nF0CgbCA#_DXWTL795ommonPegGPlFNmFa0eIQ6BBe7B8PYzsFl8", "Los Misterios De Jesus")</f>
        <v>0</v>
      </c>
      <c r="B828" t="s">
        <v>159</v>
      </c>
      <c r="C828" t="s">
        <v>1292</v>
      </c>
      <c r="D828" t="s">
        <v>2607</v>
      </c>
      <c r="E828" t="s">
        <v>3117</v>
      </c>
      <c r="F828" t="s">
        <v>3130</v>
      </c>
      <c r="G828" s="2" t="s">
        <v>3958</v>
      </c>
      <c r="H828">
        <v>6.265E-05</v>
      </c>
      <c r="I828">
        <v>6.475E-05</v>
      </c>
      <c r="J828">
        <v>0.0001274</v>
      </c>
    </row>
    <row r="829" spans="1:10">
      <c r="A829">
        <f>HYPERLINK("https://mega.nz/file/eEc0QBCZ#Tw2uXicWeBeGQNDWrFqL2QtNsaGMQ_EEPB31rfeUINc", "Occult Glossary")</f>
        <v>0</v>
      </c>
      <c r="B829" t="s">
        <v>160</v>
      </c>
      <c r="C829" t="s">
        <v>1293</v>
      </c>
      <c r="D829" t="s">
        <v>2608</v>
      </c>
      <c r="E829" t="s">
        <v>3117</v>
      </c>
      <c r="F829" t="s">
        <v>3131</v>
      </c>
      <c r="G829" s="2" t="s">
        <v>3959</v>
      </c>
      <c r="H829">
        <v>6.055E-05</v>
      </c>
      <c r="I829">
        <v>5.565E-05</v>
      </c>
      <c r="J829">
        <v>0.0001162</v>
      </c>
    </row>
    <row r="830" spans="1:10">
      <c r="A830">
        <f>HYPERLINK("https://mega.nz/file/TcdjQQaA#jrsosxj6V_pnUB7St4Ds2vne3PUU1SqQXFTtiSi3NgQ", "Hooligans of Heaven")</f>
        <v>0</v>
      </c>
      <c r="B830" t="s">
        <v>161</v>
      </c>
      <c r="C830" t="s">
        <v>1294</v>
      </c>
      <c r="D830" t="s">
        <v>2609</v>
      </c>
      <c r="E830" t="s">
        <v>3117</v>
      </c>
      <c r="F830" t="s">
        <v>3131</v>
      </c>
      <c r="G830" s="2" t="s">
        <v>3960</v>
      </c>
      <c r="H830">
        <v>5.95E-05</v>
      </c>
      <c r="I830">
        <v>5.11E-05</v>
      </c>
      <c r="J830">
        <v>0.0001106</v>
      </c>
    </row>
    <row r="831" spans="1:10">
      <c r="A831">
        <f>HYPERLINK("https://mega.nz/file/yUswyIIK#BI_gxq4270Rt4noi_g9pRQWsl9ChNhzzxWTkogIe7tg", "Secretos En La Luna")</f>
        <v>0</v>
      </c>
      <c r="B831" t="s">
        <v>162</v>
      </c>
      <c r="C831" t="s">
        <v>1295</v>
      </c>
      <c r="D831" t="s">
        <v>2610</v>
      </c>
      <c r="E831" t="s">
        <v>3117</v>
      </c>
      <c r="F831" t="s">
        <v>3130</v>
      </c>
      <c r="G831" s="2" t="s">
        <v>3961</v>
      </c>
      <c r="H831">
        <v>6.055E-05</v>
      </c>
      <c r="I831">
        <v>5.845E-05</v>
      </c>
      <c r="J831">
        <v>0.000119</v>
      </c>
    </row>
    <row r="832" spans="1:10">
      <c r="A832">
        <f>HYPERLINK("https://mega.nz/file/WY1FnDrB#Qh5iurnglncUJEbJRJavQ_iVf1N5oZtIHdkwGuQBMoo", "Historias Del Otro Lado")</f>
        <v>0</v>
      </c>
      <c r="B832" t="s">
        <v>163</v>
      </c>
      <c r="C832" t="s">
        <v>1296</v>
      </c>
      <c r="D832" t="s">
        <v>2611</v>
      </c>
      <c r="E832" t="s">
        <v>3117</v>
      </c>
      <c r="F832" t="s">
        <v>3130</v>
      </c>
      <c r="G832" s="2" t="s">
        <v>3962</v>
      </c>
      <c r="H832">
        <v>6.265E-05</v>
      </c>
      <c r="I832">
        <v>6.265E-05</v>
      </c>
      <c r="J832">
        <v>0.0001253</v>
      </c>
    </row>
    <row r="833" spans="1:10">
      <c r="A833">
        <f>HYPERLINK("https://mega.nz/file/6EtHTQDT#q6sGLaKu6VAKHP6MhseNSkV70Sz4pKKHrC136nv94is", "El Misterio De La Sabana Santa")</f>
        <v>0</v>
      </c>
      <c r="B833" t="s">
        <v>164</v>
      </c>
      <c r="C833" t="s">
        <v>1297</v>
      </c>
      <c r="D833" t="s">
        <v>2612</v>
      </c>
      <c r="E833" t="s">
        <v>3117</v>
      </c>
      <c r="F833" t="s">
        <v>3130</v>
      </c>
      <c r="G833" s="2" t="s">
        <v>3963</v>
      </c>
      <c r="H833">
        <v>6.475E-05</v>
      </c>
      <c r="I833">
        <v>6.965E-05</v>
      </c>
      <c r="J833">
        <v>0.0001344</v>
      </c>
    </row>
    <row r="834" spans="1:10">
      <c r="A834">
        <f>HYPERLINK("https://mega.nz/file/CE0EwLQI#kZPitsREgYlwiPqk-oCj_Pim29feXRL9UE45awd8L9g", "El Enigma De Baphomet")</f>
        <v>0</v>
      </c>
      <c r="B834" t="s">
        <v>165</v>
      </c>
      <c r="C834" t="s">
        <v>1298</v>
      </c>
      <c r="D834" t="s">
        <v>2613</v>
      </c>
      <c r="E834" t="s">
        <v>3117</v>
      </c>
      <c r="F834" t="s">
        <v>3130</v>
      </c>
      <c r="G834" s="2" t="s">
        <v>3964</v>
      </c>
      <c r="H834">
        <v>6.475E-05</v>
      </c>
      <c r="I834">
        <v>6.195E-05</v>
      </c>
      <c r="J834">
        <v>0.0001267</v>
      </c>
    </row>
    <row r="835" spans="1:10">
      <c r="A835">
        <f>HYPERLINK("https://mega.nz/file/3RFAlJLR#6IV81X6jqGDgZpD4Ky3UhZezh3MyWyz46aINEGh2I6c", "La Biblia y el Legado del Antiguo Oriente")</f>
        <v>0</v>
      </c>
      <c r="B835" t="s">
        <v>166</v>
      </c>
      <c r="C835" t="s">
        <v>1299</v>
      </c>
      <c r="D835" t="s">
        <v>2614</v>
      </c>
      <c r="E835" t="s">
        <v>3117</v>
      </c>
      <c r="F835" t="s">
        <v>3130</v>
      </c>
      <c r="G835" s="2" t="s">
        <v>3965</v>
      </c>
      <c r="H835">
        <v>7.805E-05</v>
      </c>
      <c r="I835">
        <v>5.985E-05</v>
      </c>
      <c r="J835">
        <v>0.0001379</v>
      </c>
    </row>
    <row r="836" spans="1:10">
      <c r="A836">
        <f>HYPERLINK("https://mega.nz/file/fEtgQLrT#0Y28EGjd61KAXmb3wllXM2jLb52jPc-YCOiRDg7q2pE", "Witchcraft Today")</f>
        <v>0</v>
      </c>
      <c r="B836" t="s">
        <v>167</v>
      </c>
      <c r="C836" t="s">
        <v>1300</v>
      </c>
      <c r="D836" t="s">
        <v>2615</v>
      </c>
      <c r="E836" t="s">
        <v>3123</v>
      </c>
      <c r="F836" t="s">
        <v>3131</v>
      </c>
      <c r="G836" s="2" t="s">
        <v>3966</v>
      </c>
      <c r="H836">
        <v>5.88E-05</v>
      </c>
      <c r="I836">
        <v>5.635E-05</v>
      </c>
      <c r="J836">
        <v>0.00011515</v>
      </c>
    </row>
    <row r="837" spans="1:10">
      <c r="A837">
        <f>HYPERLINK("https://mega.nz/file/bd1wyLwQ#hygrNLwINhfaE-qZIxhBYZTZXE-CRr0FZ7YHG413JRY", "101 mitos de la biblia")</f>
        <v>0</v>
      </c>
      <c r="B837" t="s">
        <v>168</v>
      </c>
      <c r="C837" t="s">
        <v>1301</v>
      </c>
      <c r="D837" t="s">
        <v>2616</v>
      </c>
      <c r="E837" t="s">
        <v>3117</v>
      </c>
      <c r="F837" t="s">
        <v>3130</v>
      </c>
      <c r="G837" s="2" t="s">
        <v>3967</v>
      </c>
      <c r="H837">
        <v>6.405E-05</v>
      </c>
      <c r="I837">
        <v>5.6E-05</v>
      </c>
      <c r="J837">
        <v>0.00012005</v>
      </c>
    </row>
    <row r="838" spans="1:10">
      <c r="A838">
        <f>HYPERLINK("https://mega.nz/file/ucM1iTDL#RnbziKCgM-EI489pf4pYQiLmObqPD5wtXnPzEZAHbxI", "Arcana Mundi")</f>
        <v>0</v>
      </c>
      <c r="B838" t="s">
        <v>169</v>
      </c>
      <c r="C838" t="s">
        <v>1302</v>
      </c>
      <c r="D838" t="s">
        <v>2617</v>
      </c>
      <c r="E838" t="s">
        <v>3117</v>
      </c>
      <c r="F838" t="s">
        <v>3131</v>
      </c>
      <c r="G838" s="2" t="s">
        <v>3968</v>
      </c>
      <c r="H838">
        <v>5.915E-05</v>
      </c>
      <c r="I838">
        <v>5.145E-05</v>
      </c>
      <c r="J838">
        <v>0.0001106</v>
      </c>
    </row>
    <row r="839" spans="1:10">
      <c r="A839">
        <f>HYPERLINK("https://mega.nz/file/PVsSBZTT#UUJsYRK5Eg2DlVlUIXV5EnZuv2DGCn1YUnvP_JLxlOM", "1984")</f>
        <v>0</v>
      </c>
      <c r="B839" t="s">
        <v>170</v>
      </c>
      <c r="C839" t="s">
        <v>1303</v>
      </c>
      <c r="D839" t="s">
        <v>2618</v>
      </c>
      <c r="E839" t="s">
        <v>3117</v>
      </c>
      <c r="F839" t="s">
        <v>3131</v>
      </c>
      <c r="G839" s="2" t="s">
        <v>3969</v>
      </c>
      <c r="H839">
        <v>5.88E-05</v>
      </c>
      <c r="I839">
        <v>5.145E-05</v>
      </c>
      <c r="J839">
        <v>0.00011025</v>
      </c>
    </row>
    <row r="840" spans="1:10">
      <c r="A840">
        <f>HYPERLINK("https://mega.nz/file/LZcBxTyQ#dDaFJ2DNr7bvHKwPgJraDt2D9udKi64BNqv1zsatpWA", "Radiestesia Integral")</f>
        <v>0</v>
      </c>
      <c r="B840" t="s">
        <v>171</v>
      </c>
      <c r="C840" t="s">
        <v>1304</v>
      </c>
      <c r="D840" t="s">
        <v>2619</v>
      </c>
      <c r="E840" t="s">
        <v>3117</v>
      </c>
      <c r="F840" t="s">
        <v>3131</v>
      </c>
      <c r="G840" s="2" t="s">
        <v>3970</v>
      </c>
      <c r="H840">
        <v>5.95E-05</v>
      </c>
      <c r="I840">
        <v>5.53E-05</v>
      </c>
      <c r="J840">
        <v>0.0001148</v>
      </c>
    </row>
    <row r="841" spans="1:10">
      <c r="A841">
        <f>HYPERLINK("https://mega.nz/file/2N1HBZQI#g8T_heS4PElrYAY-hISoS7lyWOdV0bcvRykYqXePaDU", "Cause, Principle and Unity - And Essays on Magic")</f>
        <v>0</v>
      </c>
      <c r="B841" t="s">
        <v>172</v>
      </c>
      <c r="C841" t="s">
        <v>1305</v>
      </c>
      <c r="D841" t="s">
        <v>2620</v>
      </c>
      <c r="E841" t="s">
        <v>3117</v>
      </c>
      <c r="F841" t="s">
        <v>3131</v>
      </c>
      <c r="G841" s="2" t="s">
        <v>3971</v>
      </c>
      <c r="H841">
        <v>6.58E-05</v>
      </c>
      <c r="I841">
        <v>5.53E-05</v>
      </c>
      <c r="J841">
        <v>0.0001211</v>
      </c>
    </row>
    <row r="842" spans="1:10">
      <c r="A842">
        <f>HYPERLINK("https://mega.nz/file/uQ11iYhS#M0lQ4fTnbjyQQWh2zSol_5_w4EnJs8rbH68evEzU9AY", "The Occult Roots of Nazism")</f>
        <v>0</v>
      </c>
      <c r="B842" t="s">
        <v>173</v>
      </c>
      <c r="C842" t="s">
        <v>1306</v>
      </c>
      <c r="D842" t="s">
        <v>2621</v>
      </c>
      <c r="E842" t="s">
        <v>3117</v>
      </c>
      <c r="F842" t="s">
        <v>3131</v>
      </c>
      <c r="G842" s="2" t="s">
        <v>3972</v>
      </c>
      <c r="H842">
        <v>6.265E-05</v>
      </c>
      <c r="I842">
        <v>5.285E-05</v>
      </c>
      <c r="J842">
        <v>0.0001155</v>
      </c>
    </row>
    <row r="843" spans="1:10">
      <c r="A843">
        <f>HYPERLINK("https://mega.nz/file/qAFwiQwA#Iz9d5YcVDwy1JpV8EsdBiHfaQf2gFN9NPwuSiLM1AII", "Against the Light")</f>
        <v>0</v>
      </c>
      <c r="B843" t="s">
        <v>174</v>
      </c>
      <c r="C843" t="s">
        <v>1307</v>
      </c>
      <c r="D843" t="s">
        <v>2622</v>
      </c>
      <c r="E843" t="s">
        <v>3117</v>
      </c>
      <c r="F843" t="s">
        <v>3131</v>
      </c>
      <c r="G843" s="2" t="s">
        <v>3973</v>
      </c>
      <c r="H843">
        <v>5.635E-05</v>
      </c>
      <c r="I843">
        <v>4.655E-05</v>
      </c>
      <c r="J843">
        <v>0.0001029</v>
      </c>
    </row>
    <row r="844" spans="1:10">
      <c r="A844">
        <f>HYPERLINK("https://mega.nz/file/XVdgRTID#vDSHOffKahJ9LU8jYIS9MMtQW-vmo64ItxZ-0Y67bA8", "Gamaliel The Diary of a Vampire")</f>
        <v>0</v>
      </c>
      <c r="B844" t="s">
        <v>174</v>
      </c>
      <c r="C844" t="s">
        <v>1308</v>
      </c>
      <c r="D844" t="s">
        <v>2623</v>
      </c>
      <c r="E844" t="s">
        <v>3117</v>
      </c>
      <c r="F844" t="s">
        <v>3131</v>
      </c>
      <c r="G844" s="2" t="s">
        <v>3974</v>
      </c>
      <c r="H844">
        <v>6.160000000000001E-05</v>
      </c>
      <c r="I844">
        <v>5.39E-05</v>
      </c>
      <c r="J844">
        <v>0.0001155</v>
      </c>
    </row>
    <row r="845" spans="1:10">
      <c r="A845">
        <f>HYPERLINK("https://mega.nz/file/PN8GRRYJ#YNOAwy0VOQBWLP0ufQTHgmxWXTRa0MclHoVUaZIV070", "Hecate's Fountain")</f>
        <v>0</v>
      </c>
      <c r="B845" t="s">
        <v>174</v>
      </c>
      <c r="C845" t="s">
        <v>1309</v>
      </c>
      <c r="D845" t="s">
        <v>2624</v>
      </c>
      <c r="E845" t="s">
        <v>3117</v>
      </c>
      <c r="F845" t="s">
        <v>3131</v>
      </c>
      <c r="G845" s="2" t="s">
        <v>3975</v>
      </c>
      <c r="H845">
        <v>5.95E-05</v>
      </c>
      <c r="I845">
        <v>6.160000000000001E-05</v>
      </c>
      <c r="J845">
        <v>0.0001211</v>
      </c>
    </row>
    <row r="846" spans="1:10">
      <c r="A846">
        <f>HYPERLINK("https://mega.nz/file/qJc1FRwC#7OV2bB-nBjXW86MOJjI3B3MbZX8sJ2HLtiIt4I0jCPY", "Magical Revival")</f>
        <v>0</v>
      </c>
      <c r="B846" t="s">
        <v>174</v>
      </c>
      <c r="C846" t="s">
        <v>1310</v>
      </c>
      <c r="D846" t="s">
        <v>2625</v>
      </c>
      <c r="E846" t="s">
        <v>3117</v>
      </c>
      <c r="F846" t="s">
        <v>3131</v>
      </c>
      <c r="G846" s="2" t="s">
        <v>3976</v>
      </c>
      <c r="H846">
        <v>5.6E-05</v>
      </c>
      <c r="I846">
        <v>5.915E-05</v>
      </c>
      <c r="J846">
        <v>0.00011515</v>
      </c>
    </row>
    <row r="847" spans="1:10">
      <c r="A847">
        <f>HYPERLINK("https://mega.nz/file/bE1zAZrZ#LUTtBprvQ7Y_8axQfowqPfu7Yl8QImZ_bTi9W1Zi-Z8", "Outer Gateways")</f>
        <v>0</v>
      </c>
      <c r="B847" t="s">
        <v>174</v>
      </c>
      <c r="C847" t="s">
        <v>1311</v>
      </c>
      <c r="D847" t="s">
        <v>2626</v>
      </c>
      <c r="E847" t="s">
        <v>3117</v>
      </c>
      <c r="F847" t="s">
        <v>3131</v>
      </c>
      <c r="G847" s="2" t="s">
        <v>3977</v>
      </c>
      <c r="H847">
        <v>5.635E-05</v>
      </c>
      <c r="I847">
        <v>5.425E-05</v>
      </c>
      <c r="J847">
        <v>0.0001106</v>
      </c>
    </row>
    <row r="848" spans="1:10">
      <c r="A848">
        <f>HYPERLINK("https://mega.nz/file/OVNGjART#FfaoY2CLKeCLDJDt6hr_wVYtplDTCmA-Vw8AbhFOK_o", "Pop Magic")</f>
        <v>0</v>
      </c>
      <c r="B848" t="s">
        <v>175</v>
      </c>
      <c r="C848" t="s">
        <v>1312</v>
      </c>
      <c r="D848" t="s">
        <v>2627</v>
      </c>
      <c r="E848" t="s">
        <v>3117</v>
      </c>
      <c r="F848" t="s">
        <v>3131</v>
      </c>
      <c r="G848" s="2" t="s">
        <v>3978</v>
      </c>
      <c r="H848">
        <v>5.635E-05</v>
      </c>
      <c r="I848">
        <v>4.935E-05</v>
      </c>
      <c r="J848">
        <v>0.0001057</v>
      </c>
    </row>
    <row r="849" spans="1:10">
      <c r="A849">
        <f>HYPERLINK("https://mega.nz/file/LJ0GCRYJ#jVa_su65Rd0rkz32VYcPBeQFEszajHHSlXJJJAJRZK4", "An Outlook On Our Inner Western Way")</f>
        <v>0</v>
      </c>
      <c r="B849" t="s">
        <v>176</v>
      </c>
      <c r="C849" t="s">
        <v>1313</v>
      </c>
      <c r="D849" t="s">
        <v>2628</v>
      </c>
      <c r="E849" t="s">
        <v>3117</v>
      </c>
      <c r="F849" t="s">
        <v>3131</v>
      </c>
      <c r="G849" s="2" t="s">
        <v>3979</v>
      </c>
      <c r="H849">
        <v>6.3E-05</v>
      </c>
      <c r="I849">
        <v>5.215E-05</v>
      </c>
      <c r="J849">
        <v>0.00011515</v>
      </c>
    </row>
    <row r="850" spans="1:10">
      <c r="A850">
        <f>HYPERLINK("https://mega.nz/file/yFUQiCrZ#0duD8hozmgwrj6br_nsTrCs9cbaZmLVdabE3Mq2EVuc", "Inner Traditions of Magic")</f>
        <v>0</v>
      </c>
      <c r="B850" t="s">
        <v>176</v>
      </c>
      <c r="C850" t="s">
        <v>1314</v>
      </c>
      <c r="D850" t="s">
        <v>2629</v>
      </c>
      <c r="E850" t="s">
        <v>3117</v>
      </c>
      <c r="F850" t="s">
        <v>3131</v>
      </c>
      <c r="G850" s="2" t="s">
        <v>3980</v>
      </c>
      <c r="H850">
        <v>5.95E-05</v>
      </c>
      <c r="I850">
        <v>5.04E-05</v>
      </c>
      <c r="J850">
        <v>0.0001099</v>
      </c>
    </row>
    <row r="851" spans="1:10">
      <c r="A851">
        <f>HYPERLINK("https://mega.nz/file/zdF1AK5Y#dlZfrjf-_6VacdVp7qtPK4F12NgCXGCWvRdeeqO1rsA", "Ladder of Lights")</f>
        <v>0</v>
      </c>
      <c r="B851" t="s">
        <v>176</v>
      </c>
      <c r="C851" t="s">
        <v>1315</v>
      </c>
      <c r="D851" t="s">
        <v>2630</v>
      </c>
      <c r="E851" t="s">
        <v>3117</v>
      </c>
      <c r="F851" t="s">
        <v>3131</v>
      </c>
      <c r="G851" s="2" t="s">
        <v>3981</v>
      </c>
      <c r="H851">
        <v>5.74E-05</v>
      </c>
      <c r="I851">
        <v>4.655E-05</v>
      </c>
      <c r="J851">
        <v>0.00010395</v>
      </c>
    </row>
    <row r="852" spans="1:10">
      <c r="A852">
        <f>HYPERLINK("https://mega.nz/file/qAEgTZyI#8Qmx5chUBW59SoqHZBld0jS2pOBSEY1S6yxzQCz6pPw", "Language Of The Gods")</f>
        <v>0</v>
      </c>
      <c r="B852" t="s">
        <v>176</v>
      </c>
      <c r="C852" t="s">
        <v>1316</v>
      </c>
      <c r="D852" t="s">
        <v>2631</v>
      </c>
      <c r="E852" t="s">
        <v>3117</v>
      </c>
      <c r="F852" t="s">
        <v>3131</v>
      </c>
      <c r="G852" s="2" t="s">
        <v>3982</v>
      </c>
      <c r="H852">
        <v>5.775E-05</v>
      </c>
      <c r="I852">
        <v>4.9E-05</v>
      </c>
      <c r="J852">
        <v>0.00010675</v>
      </c>
    </row>
    <row r="853" spans="1:10">
      <c r="A853">
        <f>HYPERLINK("https://mega.nz/file/TJFgyYKC#fcwdpDJTyJr1aUnmpa9Z8HvtlDzBna1cQykSSMV6s80", "Magical Ritual Methods")</f>
        <v>0</v>
      </c>
      <c r="B853" t="s">
        <v>176</v>
      </c>
      <c r="C853" t="s">
        <v>1317</v>
      </c>
      <c r="D853" t="s">
        <v>2632</v>
      </c>
      <c r="E853" t="s">
        <v>3117</v>
      </c>
      <c r="F853" t="s">
        <v>3131</v>
      </c>
      <c r="G853" s="2" t="s">
        <v>3983</v>
      </c>
      <c r="H853">
        <v>5.88E-05</v>
      </c>
      <c r="I853">
        <v>5.11E-05</v>
      </c>
      <c r="J853">
        <v>0.0001099</v>
      </c>
    </row>
    <row r="854" spans="1:10">
      <c r="A854">
        <f>HYPERLINK("https://mega.nz/file/yUlWVIQI#DqdzoM4eS4KloR4LwhrlUGP_h3bsUOVzhWMnf8CbI_U", "Qabalistic Concepts")</f>
        <v>0</v>
      </c>
      <c r="B854" t="s">
        <v>176</v>
      </c>
      <c r="C854" t="s">
        <v>1318</v>
      </c>
      <c r="D854" t="s">
        <v>2633</v>
      </c>
      <c r="E854" t="s">
        <v>3117</v>
      </c>
      <c r="F854" t="s">
        <v>3131</v>
      </c>
      <c r="G854" s="2" t="s">
        <v>3984</v>
      </c>
      <c r="H854">
        <v>5.81E-05</v>
      </c>
      <c r="I854">
        <v>5.11E-05</v>
      </c>
      <c r="J854">
        <v>0.0001092</v>
      </c>
    </row>
    <row r="855" spans="1:10">
      <c r="A855">
        <f>HYPERLINK("https://mega.nz/file/SVEAxaAD#vcXgaC_YKUfx65dL1r2GLWEGNsN3m_T8A2ru0xbpNac", "Temple Magic")</f>
        <v>0</v>
      </c>
      <c r="B855" t="s">
        <v>176</v>
      </c>
      <c r="C855" t="s">
        <v>1319</v>
      </c>
      <c r="D855" t="s">
        <v>2634</v>
      </c>
      <c r="E855" t="s">
        <v>3117</v>
      </c>
      <c r="F855" t="s">
        <v>3131</v>
      </c>
      <c r="G855" s="2" t="s">
        <v>3985</v>
      </c>
      <c r="H855">
        <v>5.6E-05</v>
      </c>
      <c r="I855">
        <v>4.97E-05</v>
      </c>
      <c r="J855">
        <v>0.0001057</v>
      </c>
    </row>
    <row r="856" spans="1:10">
      <c r="A856">
        <f>HYPERLINK("https://mega.nz/file/iV1EyK5L#peWSRMXSxSA4yp8mo-rT5iju-Mv5ny4BHo0xWUq5mRQ", "The Rollright Ritual")</f>
        <v>0</v>
      </c>
      <c r="B856" t="s">
        <v>176</v>
      </c>
      <c r="C856" t="s">
        <v>1320</v>
      </c>
      <c r="D856" t="s">
        <v>2635</v>
      </c>
      <c r="E856" t="s">
        <v>3117</v>
      </c>
      <c r="F856" t="s">
        <v>3131</v>
      </c>
      <c r="G856" s="2" t="s">
        <v>3986</v>
      </c>
      <c r="H856">
        <v>5.88E-05</v>
      </c>
      <c r="I856">
        <v>4.9E-05</v>
      </c>
      <c r="J856">
        <v>0.0001078</v>
      </c>
    </row>
    <row r="857" spans="1:10">
      <c r="A857">
        <f>HYPERLINK("https://mega.nz/file/rVsXFD7Q#xAggTfUJWytFtgZr-e6rw4lYCGM8DsEI00HQvn2ZVJ0", "Tree Of Evil")</f>
        <v>0</v>
      </c>
      <c r="B857" t="s">
        <v>176</v>
      </c>
      <c r="C857" t="s">
        <v>1321</v>
      </c>
      <c r="D857" t="s">
        <v>2636</v>
      </c>
      <c r="E857" t="s">
        <v>3117</v>
      </c>
      <c r="F857" t="s">
        <v>3131</v>
      </c>
      <c r="G857" s="2" t="s">
        <v>3987</v>
      </c>
      <c r="H857">
        <v>5.74E-05</v>
      </c>
      <c r="I857">
        <v>5.145E-05</v>
      </c>
      <c r="J857">
        <v>0.00010885</v>
      </c>
    </row>
    <row r="858" spans="1:10">
      <c r="A858">
        <f>HYPERLINK("https://mega.nz/file/2I8yhRRC#r21DWRie8OpZgkKlTTwvQ-lISPsG5yq6hd-rvau1DMM", "La realidad oculta")</f>
        <v>0</v>
      </c>
      <c r="B858" t="s">
        <v>177</v>
      </c>
      <c r="C858" t="s">
        <v>1322</v>
      </c>
      <c r="D858" t="s">
        <v>2637</v>
      </c>
      <c r="E858" t="s">
        <v>3117</v>
      </c>
      <c r="F858" t="s">
        <v>3130</v>
      </c>
      <c r="G858" s="2" t="s">
        <v>3988</v>
      </c>
      <c r="H858">
        <v>5.915E-05</v>
      </c>
      <c r="I858">
        <v>4.97E-05</v>
      </c>
      <c r="J858">
        <v>0.00010885</v>
      </c>
    </row>
    <row r="859" spans="1:10">
      <c r="A859">
        <f>HYPERLINK("https://mega.nz/file/PAFzkB5A#lhvtv95fYg_ZTiDGmG0F5S1kn3-Cz0iUdKaxgOD-kkc", "Corpus hermeticum")</f>
        <v>0</v>
      </c>
      <c r="B859" t="s">
        <v>178</v>
      </c>
      <c r="C859" t="s">
        <v>602</v>
      </c>
      <c r="D859" t="s">
        <v>2638</v>
      </c>
      <c r="E859" t="s">
        <v>3126</v>
      </c>
      <c r="F859" t="s">
        <v>3131</v>
      </c>
      <c r="G859" s="2" t="s">
        <v>3989</v>
      </c>
      <c r="H859">
        <v>6.23E-05</v>
      </c>
      <c r="I859">
        <v>5.915E-05</v>
      </c>
      <c r="J859">
        <v>0.00012145</v>
      </c>
    </row>
    <row r="860" spans="1:10">
      <c r="A860">
        <f>HYPERLINK("https://mega.nz/file/uYFlCTKQ#lxPrAvYWDSOjI5LV23daC3WOi4vjPfjNcdNCBe_NL6Y", "Las Reliquias De Hitler")</f>
        <v>0</v>
      </c>
      <c r="B860" t="s">
        <v>179</v>
      </c>
      <c r="C860" t="s">
        <v>1323</v>
      </c>
      <c r="D860" t="s">
        <v>2639</v>
      </c>
      <c r="E860" t="s">
        <v>3117</v>
      </c>
      <c r="F860" t="s">
        <v>3130</v>
      </c>
      <c r="G860" s="2" t="s">
        <v>3990</v>
      </c>
      <c r="H860">
        <v>6.265E-05</v>
      </c>
      <c r="I860">
        <v>7.175E-05</v>
      </c>
      <c r="J860">
        <v>0.0001344</v>
      </c>
    </row>
    <row r="861" spans="1:10">
      <c r="A861">
        <f>HYPERLINK("https://mega.nz/file/CdkQUbDb#f-IX8afDj87EtOUrxjuwnMEzBA737C8_OIkKsvv0HJM", "Leyenda Santo Grial y Sagrado Corazon")</f>
        <v>0</v>
      </c>
      <c r="B861" t="s">
        <v>180</v>
      </c>
      <c r="C861" t="s">
        <v>1324</v>
      </c>
      <c r="D861" t="s">
        <v>2640</v>
      </c>
      <c r="E861" t="s">
        <v>3117</v>
      </c>
      <c r="F861" t="s">
        <v>3130</v>
      </c>
      <c r="G861" s="2" t="s">
        <v>3991</v>
      </c>
      <c r="H861">
        <v>6.685E-05</v>
      </c>
      <c r="I861">
        <v>5.775E-05</v>
      </c>
      <c r="J861">
        <v>0.0001246</v>
      </c>
    </row>
    <row r="862" spans="1:10">
      <c r="A862">
        <f>HYPERLINK("https://mega.nz/file/2dtV3RYD#ykmJCO6988xNzdHOkk8vdOiyRE0Mf3kACIWtVJEwsHE", "El esoterismo de Dante")</f>
        <v>0</v>
      </c>
      <c r="B862" t="s">
        <v>181</v>
      </c>
      <c r="C862" t="s">
        <v>1325</v>
      </c>
      <c r="D862" t="s">
        <v>2641</v>
      </c>
      <c r="E862" t="s">
        <v>3117</v>
      </c>
      <c r="F862" t="s">
        <v>3130</v>
      </c>
      <c r="G862" s="2" t="s">
        <v>3992</v>
      </c>
      <c r="H862">
        <v>6.265E-05</v>
      </c>
      <c r="I862">
        <v>5.775E-05</v>
      </c>
      <c r="J862">
        <v>0.0001204</v>
      </c>
    </row>
    <row r="863" spans="1:10">
      <c r="A863">
        <f>HYPERLINK("https://mega.nz/file/WJcmBBrK#MIfA1qvjf_8EWhePhjf2tVKs3sHdSTFkMEW1JJO3ocs", "El secreto de las Runas")</f>
        <v>0</v>
      </c>
      <c r="B863" t="s">
        <v>182</v>
      </c>
      <c r="C863" t="s">
        <v>1326</v>
      </c>
      <c r="D863" t="s">
        <v>2642</v>
      </c>
      <c r="E863" t="s">
        <v>3124</v>
      </c>
      <c r="F863" t="s">
        <v>3130</v>
      </c>
      <c r="G863" s="2" t="s">
        <v>3993</v>
      </c>
      <c r="H863">
        <v>6.23E-05</v>
      </c>
      <c r="I863">
        <v>5.635E-05</v>
      </c>
      <c r="J863">
        <v>0.00011865</v>
      </c>
    </row>
    <row r="864" spans="1:10">
      <c r="A864">
        <f>HYPERLINK("https://mega.nz/file/WREAhQAC#sIyuLQSTHhCaMdcxysdFthEXr1bOlI1vJLKuqOHg-eU", "Mitologia General")</f>
        <v>0</v>
      </c>
      <c r="B864" t="s">
        <v>183</v>
      </c>
      <c r="C864" t="s">
        <v>1327</v>
      </c>
      <c r="D864" t="s">
        <v>2643</v>
      </c>
      <c r="E864" t="s">
        <v>3117</v>
      </c>
      <c r="F864" t="s">
        <v>3131</v>
      </c>
      <c r="G864" s="2" t="s">
        <v>3994</v>
      </c>
      <c r="H864">
        <v>6.02E-05</v>
      </c>
      <c r="I864">
        <v>5.39E-05</v>
      </c>
      <c r="J864">
        <v>0.0001141</v>
      </c>
    </row>
    <row r="865" spans="1:10">
      <c r="A865">
        <f>HYPERLINK("https://mega.nz/file/6ZVQ0aDA#GB5pXfsIKdQRev-el5xKk3yOPf7N5sWNHykzzFX_N7c", "Lo Absurdo Y El Misterio")</f>
        <v>0</v>
      </c>
      <c r="B865" t="s">
        <v>184</v>
      </c>
      <c r="C865" t="s">
        <v>1328</v>
      </c>
      <c r="D865" t="s">
        <v>2644</v>
      </c>
      <c r="E865" t="s">
        <v>3117</v>
      </c>
      <c r="F865" t="s">
        <v>3130</v>
      </c>
      <c r="G865" s="2" t="s">
        <v>3995</v>
      </c>
      <c r="H865">
        <v>6.37E-05</v>
      </c>
      <c r="I865">
        <v>6.23E-05</v>
      </c>
      <c r="J865">
        <v>0.000126</v>
      </c>
    </row>
    <row r="866" spans="1:10">
      <c r="A866">
        <f>HYPERLINK("https://mega.nz/file/SYMyCBjT#H-OwlfIk0-F8HK1wEzn4HQGxrG80jTdwTqDM7py_CFc", "Knight of the Supremacy of the Will")</f>
        <v>0</v>
      </c>
      <c r="B866" t="s">
        <v>185</v>
      </c>
      <c r="C866" t="s">
        <v>1329</v>
      </c>
      <c r="D866" t="s">
        <v>2645</v>
      </c>
      <c r="E866" t="s">
        <v>3117</v>
      </c>
      <c r="F866" t="s">
        <v>3131</v>
      </c>
      <c r="G866" s="2" t="s">
        <v>3996</v>
      </c>
      <c r="H866">
        <v>6.475E-05</v>
      </c>
      <c r="I866">
        <v>6.615E-05</v>
      </c>
      <c r="J866">
        <v>0.0001309</v>
      </c>
    </row>
    <row r="867" spans="1:10">
      <c r="A867">
        <f>HYPERLINK("https://mega.nz/file/jYl1CKLY#GFGyFFYZzZvvukMk7A9MBxLlicDWWPJVYj4mm4zwi6Y", "Work")</f>
        <v>0</v>
      </c>
      <c r="B867" t="s">
        <v>185</v>
      </c>
      <c r="C867" t="s">
        <v>1330</v>
      </c>
      <c r="D867" t="s">
        <v>2646</v>
      </c>
      <c r="E867" t="s">
        <v>3117</v>
      </c>
      <c r="F867" t="s">
        <v>3131</v>
      </c>
      <c r="G867" s="2" t="s">
        <v>3997</v>
      </c>
      <c r="H867">
        <v>5.74E-05</v>
      </c>
      <c r="I867">
        <v>5.46E-05</v>
      </c>
      <c r="J867">
        <v>0.000112</v>
      </c>
    </row>
    <row r="868" spans="1:10">
      <c r="A868">
        <f>HYPERLINK("https://mega.nz/file/yBlmALhY#8Q0kLZ6cgQw49AMSmzPACMcNbo2B7yHaJ-XIe0OqwmU", "Fascism-The Bloody Ideology of Darwinism")</f>
        <v>0</v>
      </c>
      <c r="B868" t="s">
        <v>186</v>
      </c>
      <c r="C868" t="s">
        <v>1331</v>
      </c>
      <c r="D868" t="s">
        <v>2647</v>
      </c>
      <c r="E868" t="s">
        <v>3117</v>
      </c>
      <c r="F868" t="s">
        <v>3131</v>
      </c>
      <c r="G868" s="2" t="s">
        <v>3998</v>
      </c>
      <c r="H868">
        <v>6.755E-05</v>
      </c>
      <c r="I868">
        <v>5.46E-05</v>
      </c>
      <c r="J868">
        <v>0.00012215</v>
      </c>
    </row>
    <row r="869" spans="1:10">
      <c r="A869">
        <f>HYPERLINK("https://mega.nz/file/WRVWFKQK#t_bvyaBaGAlrSIWizkGJjeHdeXiW-tT4X77b1e2uHCg", "Some Secrets of the Quran")</f>
        <v>0</v>
      </c>
      <c r="B869" t="s">
        <v>186</v>
      </c>
      <c r="C869" t="s">
        <v>1332</v>
      </c>
      <c r="D869" t="s">
        <v>2648</v>
      </c>
      <c r="E869" t="s">
        <v>3117</v>
      </c>
      <c r="F869" t="s">
        <v>3131</v>
      </c>
      <c r="G869" s="2" t="s">
        <v>3999</v>
      </c>
      <c r="H869">
        <v>6.160000000000001E-05</v>
      </c>
      <c r="I869">
        <v>5.04E-05</v>
      </c>
      <c r="J869">
        <v>0.000112</v>
      </c>
    </row>
    <row r="870" spans="1:10">
      <c r="A870">
        <f>HYPERLINK("https://mega.nz/file/TUVwSZgK#ZbjXNCBEGNWjqOuY70e4YyVidTCPxcinPi1e1r1U9kw", "The Alliance of The Good")</f>
        <v>0</v>
      </c>
      <c r="B870" t="s">
        <v>186</v>
      </c>
      <c r="C870" t="s">
        <v>1333</v>
      </c>
      <c r="D870" t="s">
        <v>2649</v>
      </c>
      <c r="E870" t="s">
        <v>3117</v>
      </c>
      <c r="F870" t="s">
        <v>3131</v>
      </c>
      <c r="G870" s="2" t="s">
        <v>4000</v>
      </c>
      <c r="H870">
        <v>6.160000000000001E-05</v>
      </c>
      <c r="I870">
        <v>5.18E-05</v>
      </c>
      <c r="J870">
        <v>0.0001134</v>
      </c>
    </row>
    <row r="871" spans="1:10">
      <c r="A871">
        <f>HYPERLINK("https://mega.nz/file/3Y8QFAZB#SwhfF-52w59vM2n7I-p5HgD-So-qaWWYMrcKkQH9YTg", "The Day of Judgment")</f>
        <v>0</v>
      </c>
      <c r="B871" t="s">
        <v>186</v>
      </c>
      <c r="C871" t="s">
        <v>1334</v>
      </c>
      <c r="D871" t="s">
        <v>2650</v>
      </c>
      <c r="E871" t="s">
        <v>3117</v>
      </c>
      <c r="F871" t="s">
        <v>3131</v>
      </c>
      <c r="G871" s="2" t="s">
        <v>4001</v>
      </c>
      <c r="H871">
        <v>6.055E-05</v>
      </c>
      <c r="I871">
        <v>5.075E-05</v>
      </c>
      <c r="J871">
        <v>0.0001113</v>
      </c>
    </row>
    <row r="872" spans="1:10">
      <c r="A872">
        <f>HYPERLINK("https://mega.nz/file/fMcnWbLa#B1hEK17ixjI6Jw4TJkghor-b3yZmRKvaG_vaGK_NG4Y", "The Prophet Muhammad")</f>
        <v>0</v>
      </c>
      <c r="B872" t="s">
        <v>186</v>
      </c>
      <c r="C872" t="s">
        <v>1335</v>
      </c>
      <c r="D872" t="s">
        <v>2651</v>
      </c>
      <c r="E872" t="s">
        <v>3117</v>
      </c>
      <c r="F872" t="s">
        <v>3131</v>
      </c>
      <c r="G872" s="2" t="s">
        <v>4002</v>
      </c>
      <c r="H872">
        <v>5.95E-05</v>
      </c>
      <c r="I872">
        <v>4.55E-05</v>
      </c>
      <c r="J872">
        <v>0.000105</v>
      </c>
    </row>
    <row r="873" spans="1:10">
      <c r="A873">
        <f>HYPERLINK("https://mega.nz/file/6VUwnToL#4IMJBkNcqwnjE5NJKsaHe1_SZlTMO7phAaGTTKjrDW0", "La Conjura De Los Reptilianos - Manual De Gestion Illuminati")</f>
        <v>0</v>
      </c>
      <c r="B873" t="s">
        <v>187</v>
      </c>
      <c r="C873" t="s">
        <v>1336</v>
      </c>
      <c r="D873" t="s">
        <v>2652</v>
      </c>
      <c r="E873" t="s">
        <v>3117</v>
      </c>
      <c r="F873" t="s">
        <v>3130</v>
      </c>
      <c r="G873" s="2" t="s">
        <v>4003</v>
      </c>
      <c r="H873">
        <v>6.999999999999999E-05</v>
      </c>
      <c r="I873">
        <v>5.67E-05</v>
      </c>
      <c r="J873">
        <v>0.0001267</v>
      </c>
    </row>
    <row r="874" spans="1:10">
      <c r="A874">
        <f>HYPERLINK("https://mega.nz/file/idtHkLwL#oCdzlvWLbJFmQr_QFhZxjKlCSEcAq2soYp7Ef2Xn7W8", "Elemental chaos")</f>
        <v>0</v>
      </c>
      <c r="B874" t="s">
        <v>188</v>
      </c>
      <c r="C874" t="s">
        <v>1337</v>
      </c>
      <c r="D874" t="s">
        <v>2653</v>
      </c>
      <c r="E874" t="s">
        <v>3117</v>
      </c>
      <c r="F874" t="s">
        <v>3131</v>
      </c>
      <c r="G874" s="2" t="s">
        <v>4004</v>
      </c>
      <c r="H874">
        <v>5.74E-05</v>
      </c>
      <c r="I874">
        <v>4.76E-05</v>
      </c>
      <c r="J874">
        <v>0.000105</v>
      </c>
    </row>
    <row r="875" spans="1:10">
      <c r="A875">
        <f>HYPERLINK("https://mega.nz/file/3MN1nBoT#TkNJHHeO-t8AyfPJUtRr7PECcnjTgD7FD-S291aboJo", "Cristianismo")</f>
        <v>0</v>
      </c>
      <c r="B875" t="s">
        <v>189</v>
      </c>
      <c r="C875" t="s">
        <v>1338</v>
      </c>
      <c r="D875" t="s">
        <v>2654</v>
      </c>
      <c r="E875" t="s">
        <v>3117</v>
      </c>
      <c r="F875" t="s">
        <v>3131</v>
      </c>
      <c r="G875" s="2" t="s">
        <v>4005</v>
      </c>
      <c r="H875">
        <v>5.88E-05</v>
      </c>
      <c r="I875">
        <v>6.02E-05</v>
      </c>
      <c r="J875">
        <v>0.000119</v>
      </c>
    </row>
    <row r="876" spans="1:10">
      <c r="A876">
        <f>HYPERLINK("https://mega.nz/file/HdsASCDY#dNoDARDyTcTsPlIC3XM_J70ZKoO01_fOxR156JNFi0s", "Cuerpo de Deseos")</f>
        <v>0</v>
      </c>
      <c r="B876" t="s">
        <v>189</v>
      </c>
      <c r="C876" t="s">
        <v>1339</v>
      </c>
      <c r="D876" t="s">
        <v>2655</v>
      </c>
      <c r="E876" t="s">
        <v>3117</v>
      </c>
      <c r="F876" t="s">
        <v>3130</v>
      </c>
      <c r="G876" s="2" t="s">
        <v>4006</v>
      </c>
      <c r="H876">
        <v>6.055E-05</v>
      </c>
      <c r="I876">
        <v>6.58E-05</v>
      </c>
      <c r="J876">
        <v>0.00012635</v>
      </c>
    </row>
    <row r="877" spans="1:10">
      <c r="A877">
        <f>HYPERLINK("https://mega.nz/file/iZMVwbKS#SabPbc7baMxg6AiloEvzdNplLzlsoWlncp5M2BVxrGE", "Doctrina Secreta")</f>
        <v>0</v>
      </c>
      <c r="B877" t="s">
        <v>189</v>
      </c>
      <c r="C877" t="s">
        <v>1340</v>
      </c>
      <c r="D877" t="s">
        <v>2656</v>
      </c>
      <c r="E877" t="s">
        <v>3117</v>
      </c>
      <c r="F877" t="s">
        <v>3131</v>
      </c>
      <c r="G877" s="2" t="s">
        <v>4007</v>
      </c>
      <c r="H877">
        <v>6.195E-05</v>
      </c>
      <c r="I877">
        <v>5.005E-05</v>
      </c>
      <c r="J877">
        <v>0.000112</v>
      </c>
    </row>
    <row r="878" spans="1:10">
      <c r="A878">
        <f>HYPERLINK("https://mega.nz/file/LVFhCI5K#CUZXKrvtznAHbEYAawdzTSxEWXCFgdwnOXfN8h0FaNc", "El cuerpo vital")</f>
        <v>0</v>
      </c>
      <c r="B878" t="s">
        <v>189</v>
      </c>
      <c r="C878" t="s">
        <v>1341</v>
      </c>
      <c r="D878" t="s">
        <v>2657</v>
      </c>
      <c r="E878" t="s">
        <v>3117</v>
      </c>
      <c r="F878" t="s">
        <v>3130</v>
      </c>
      <c r="G878" s="2" t="s">
        <v>4008</v>
      </c>
      <c r="H878">
        <v>5.74E-05</v>
      </c>
      <c r="I878">
        <v>5.32E-05</v>
      </c>
      <c r="J878">
        <v>0.0001106</v>
      </c>
    </row>
    <row r="879" spans="1:10">
      <c r="A879">
        <f>HYPERLINK("https://mega.nz/file/3JdEFCKY#4rTWZS5xV_0K-4jU1qpN9FaJK2qV6VR-XB4p34FO1Fk", "Ensenanzas de un iniciado")</f>
        <v>0</v>
      </c>
      <c r="B879" t="s">
        <v>189</v>
      </c>
      <c r="C879" t="s">
        <v>1342</v>
      </c>
      <c r="D879" t="s">
        <v>2658</v>
      </c>
      <c r="E879" t="s">
        <v>3117</v>
      </c>
      <c r="F879" t="s">
        <v>3130</v>
      </c>
      <c r="G879" s="2" t="s">
        <v>4009</v>
      </c>
      <c r="H879">
        <v>6.055E-05</v>
      </c>
      <c r="I879">
        <v>5.425E-05</v>
      </c>
      <c r="J879">
        <v>0.0001148</v>
      </c>
    </row>
    <row r="880" spans="1:10">
      <c r="A880">
        <f>HYPERLINK("https://mega.nz/file/zU8SRJgB#1xDTskNZY9zsexwnvgw2Uh5ottDdLKnv9QBfOSTXNC4", "Iniciacion antigua y moderna")</f>
        <v>0</v>
      </c>
      <c r="B880" t="s">
        <v>189</v>
      </c>
      <c r="C880" t="s">
        <v>1343</v>
      </c>
      <c r="D880" t="s">
        <v>2659</v>
      </c>
      <c r="E880" t="s">
        <v>3117</v>
      </c>
      <c r="F880" t="s">
        <v>3130</v>
      </c>
      <c r="G880" s="2" t="s">
        <v>4010</v>
      </c>
      <c r="H880">
        <v>6.02E-05</v>
      </c>
      <c r="I880">
        <v>5.285E-05</v>
      </c>
      <c r="J880">
        <v>0.00011305</v>
      </c>
    </row>
    <row r="881" spans="1:10">
      <c r="A881">
        <f>HYPERLINK("https://mega.nz/file/2JMniRCa#FxgyIikzWgMATNOVK0VtXy4qo49_lVq6ypTSqmAaiko", "Filosofia Rosacruz")</f>
        <v>0</v>
      </c>
      <c r="B881" t="s">
        <v>190</v>
      </c>
      <c r="C881" t="s">
        <v>1344</v>
      </c>
      <c r="D881" t="s">
        <v>2660</v>
      </c>
      <c r="E881" t="s">
        <v>3129</v>
      </c>
      <c r="F881" t="s">
        <v>3131</v>
      </c>
      <c r="G881" s="2" t="s">
        <v>4011</v>
      </c>
      <c r="H881">
        <v>6.02E-05</v>
      </c>
      <c r="I881">
        <v>5.145E-05</v>
      </c>
      <c r="J881">
        <v>0.00011165</v>
      </c>
    </row>
    <row r="882" spans="1:10">
      <c r="A882">
        <f>HYPERLINK("https://mega.nz/file/zJNkmbyD#3rFouJDzwxaOTlNansHf1O0XqZS-2P9hlCbDqqnbyww", "Masoneria y Catolicismo")</f>
        <v>0</v>
      </c>
      <c r="B882" t="s">
        <v>190</v>
      </c>
      <c r="C882" t="s">
        <v>1345</v>
      </c>
      <c r="D882" t="s">
        <v>2661</v>
      </c>
      <c r="E882" t="s">
        <v>3120</v>
      </c>
      <c r="F882" t="s">
        <v>3130</v>
      </c>
      <c r="G882" s="2" t="s">
        <v>4012</v>
      </c>
      <c r="H882">
        <v>6.160000000000001E-05</v>
      </c>
      <c r="I882">
        <v>6.439999999999999E-05</v>
      </c>
      <c r="J882">
        <v>0.000126</v>
      </c>
    </row>
    <row r="883" spans="1:10">
      <c r="A883">
        <f>HYPERLINK("https://mega.nz/file/KdcRVZha#6ymV9Wsk9jq7g4uCrteQBy2klcKRn2yiCr6l_HW_hUs", "Los Misterios Rosacruces")</f>
        <v>0</v>
      </c>
      <c r="B883" t="s">
        <v>191</v>
      </c>
      <c r="C883" t="s">
        <v>1346</v>
      </c>
      <c r="D883" t="s">
        <v>2662</v>
      </c>
      <c r="E883" t="s">
        <v>3117</v>
      </c>
      <c r="F883" t="s">
        <v>3130</v>
      </c>
      <c r="G883" s="2" t="s">
        <v>4013</v>
      </c>
      <c r="H883">
        <v>6.265E-05</v>
      </c>
      <c r="I883">
        <v>5.565E-05</v>
      </c>
      <c r="J883">
        <v>0.0001183</v>
      </c>
    </row>
    <row r="884" spans="1:10">
      <c r="A884">
        <f>HYPERLINK("https://mega.nz/file/nA9BVQSB#Vg9PJwMERB0B0IJgnJrIMKjhMgIcgMC1Vea2FNprgis", "The Secret Doctrine")</f>
        <v>0</v>
      </c>
      <c r="B884" t="s">
        <v>192</v>
      </c>
      <c r="C884" t="s">
        <v>1347</v>
      </c>
      <c r="D884" t="s">
        <v>2663</v>
      </c>
      <c r="E884" t="s">
        <v>3117</v>
      </c>
      <c r="F884" t="s">
        <v>3131</v>
      </c>
      <c r="G884" s="2" t="s">
        <v>4014</v>
      </c>
      <c r="H884">
        <v>6.055E-05</v>
      </c>
      <c r="I884">
        <v>5.565E-05</v>
      </c>
      <c r="J884">
        <v>0.0001162</v>
      </c>
    </row>
    <row r="885" spans="1:10">
      <c r="A885">
        <f>HYPERLINK("https://mega.nz/file/fNdSXApQ#alno3Qr7D9H57yiEXz4NmWYxhO4rDcDqTTHiIGDjsxc", "Anthropogenesis")</f>
        <v>0</v>
      </c>
      <c r="B885" t="s">
        <v>193</v>
      </c>
      <c r="C885" t="s">
        <v>1348</v>
      </c>
      <c r="D885" t="s">
        <v>2664</v>
      </c>
      <c r="E885" t="s">
        <v>3117</v>
      </c>
      <c r="F885" t="s">
        <v>3131</v>
      </c>
      <c r="G885" s="2" t="s">
        <v>4015</v>
      </c>
      <c r="H885">
        <v>6.055E-05</v>
      </c>
      <c r="I885">
        <v>5.495E-05</v>
      </c>
      <c r="J885">
        <v>0.0001155</v>
      </c>
    </row>
    <row r="886" spans="1:10">
      <c r="A886">
        <f>HYPERLINK("https://mega.nz/file/iF91RIoY#RJLnSPiOk-kYNdDe0WYf9HMaCsW9TXBPd-tz2_iDx4Q", "Cosmogenesis")</f>
        <v>0</v>
      </c>
      <c r="B886" t="s">
        <v>193</v>
      </c>
      <c r="C886" t="s">
        <v>1349</v>
      </c>
      <c r="D886" t="s">
        <v>2665</v>
      </c>
      <c r="E886" t="s">
        <v>3117</v>
      </c>
      <c r="F886" t="s">
        <v>3131</v>
      </c>
      <c r="G886" s="2" t="s">
        <v>4016</v>
      </c>
      <c r="H886">
        <v>6.125E-05</v>
      </c>
      <c r="I886">
        <v>5.67E-05</v>
      </c>
      <c r="J886">
        <v>0.00011795</v>
      </c>
    </row>
    <row r="887" spans="1:10">
      <c r="A887">
        <f>HYPERLINK("https://mega.nz/file/qYsBjJrL#2n_-aKXUVQtpaHaRKAe7JtvPztr0S_g_aW6KoPEd5zI", "Isis sin velo Volumen I")</f>
        <v>0</v>
      </c>
      <c r="B887" t="s">
        <v>193</v>
      </c>
      <c r="C887" t="s">
        <v>1350</v>
      </c>
      <c r="D887" t="s">
        <v>2666</v>
      </c>
      <c r="E887" t="s">
        <v>3117</v>
      </c>
      <c r="F887" t="s">
        <v>3131</v>
      </c>
      <c r="G887" s="2" t="s">
        <v>4017</v>
      </c>
      <c r="H887">
        <v>6.545000000000001E-05</v>
      </c>
      <c r="I887">
        <v>6.02E-05</v>
      </c>
      <c r="J887">
        <v>0.00012565</v>
      </c>
    </row>
    <row r="888" spans="1:10">
      <c r="A888">
        <f>HYPERLINK("https://mega.nz/file/PR1GlJQY#WdNNo_v_s0sev41Jwq5PrMOVKjQZnK4xpV2N9JaNFYA", "Nightmare Tales")</f>
        <v>0</v>
      </c>
      <c r="B888" t="s">
        <v>193</v>
      </c>
      <c r="C888" t="s">
        <v>1351</v>
      </c>
      <c r="D888" t="s">
        <v>2667</v>
      </c>
      <c r="E888" t="s">
        <v>3117</v>
      </c>
      <c r="F888" t="s">
        <v>3131</v>
      </c>
      <c r="G888" s="2" t="s">
        <v>4018</v>
      </c>
      <c r="H888">
        <v>6.125E-05</v>
      </c>
      <c r="I888">
        <v>4.97E-05</v>
      </c>
      <c r="J888">
        <v>0.00011095</v>
      </c>
    </row>
    <row r="889" spans="1:10">
      <c r="A889">
        <f>HYPERLINK("https://mega.nz/file/qcMFATKa#YK9JMz840VqvrKa72ptJlElhXtFTH0t-JyFYeRn8WQ4", "Occultism")</f>
        <v>0</v>
      </c>
      <c r="B889" t="s">
        <v>193</v>
      </c>
      <c r="C889" t="s">
        <v>1352</v>
      </c>
      <c r="D889" t="s">
        <v>2668</v>
      </c>
      <c r="E889" t="s">
        <v>3117</v>
      </c>
      <c r="F889" t="s">
        <v>3131</v>
      </c>
      <c r="G889" s="2" t="s">
        <v>4019</v>
      </c>
      <c r="H889">
        <v>6.160000000000001E-05</v>
      </c>
      <c r="I889">
        <v>6.02E-05</v>
      </c>
      <c r="J889">
        <v>0.0001218</v>
      </c>
    </row>
    <row r="890" spans="1:10">
      <c r="A890">
        <f>HYPERLINK("https://mega.nz/file/bEl1RSQZ#E9bupVP7KgozAkmsHLIJ9OCWfyvPUO2cIzyeSgE845Q", "Studies in Occultism")</f>
        <v>0</v>
      </c>
      <c r="B890" t="s">
        <v>193</v>
      </c>
      <c r="C890" t="s">
        <v>1353</v>
      </c>
      <c r="D890" t="s">
        <v>2669</v>
      </c>
      <c r="E890" t="s">
        <v>3117</v>
      </c>
      <c r="F890" t="s">
        <v>3131</v>
      </c>
      <c r="G890" s="2" t="s">
        <v>4020</v>
      </c>
      <c r="H890">
        <v>6.37E-05</v>
      </c>
      <c r="I890">
        <v>5.74E-05</v>
      </c>
      <c r="J890">
        <v>0.0001211</v>
      </c>
    </row>
    <row r="891" spans="1:10">
      <c r="A891">
        <f>HYPERLINK("https://mega.nz/file/jUUhBaaA#jZTVXvS27BAgurbl2p_Ga3juL0P3iq5irUBPwzxLhmk", "The Key To Theosophy")</f>
        <v>0</v>
      </c>
      <c r="B891" t="s">
        <v>193</v>
      </c>
      <c r="C891" t="s">
        <v>1354</v>
      </c>
      <c r="D891" t="s">
        <v>2670</v>
      </c>
      <c r="E891" t="s">
        <v>3117</v>
      </c>
      <c r="F891" t="s">
        <v>3131</v>
      </c>
      <c r="G891" s="2" t="s">
        <v>4021</v>
      </c>
      <c r="H891">
        <v>6.475E-05</v>
      </c>
      <c r="I891">
        <v>5.845E-05</v>
      </c>
      <c r="J891">
        <v>0.0001232</v>
      </c>
    </row>
    <row r="892" spans="1:10">
      <c r="A892">
        <f>HYPERLINK("https://mega.nz/file/WRsEWJTR#o0BWzd4J2c2O-rCEZta_mt76tUKyXVX5TGIRpBWBUdM", "Alchemy Unveiled")</f>
        <v>0</v>
      </c>
      <c r="B892" t="s">
        <v>194</v>
      </c>
      <c r="C892" t="s">
        <v>1355</v>
      </c>
      <c r="D892" t="s">
        <v>2671</v>
      </c>
      <c r="E892" t="s">
        <v>1584</v>
      </c>
      <c r="F892" t="s">
        <v>3131</v>
      </c>
      <c r="G892" s="2" t="s">
        <v>4022</v>
      </c>
      <c r="H892">
        <v>5.845E-05</v>
      </c>
      <c r="I892">
        <v>5.355E-05</v>
      </c>
      <c r="J892">
        <v>0.000112</v>
      </c>
    </row>
    <row r="893" spans="1:10">
      <c r="A893">
        <f>HYPERLINK("https://mega.nz/file/OBFCmC5K#t6zJgzztwoU_rLNAJsbWSbeG0lXLq1TPhzCqav5mGiw", "The 1st Book of Occult Philosophy")</f>
        <v>0</v>
      </c>
      <c r="B893" t="s">
        <v>195</v>
      </c>
      <c r="C893" t="s">
        <v>1356</v>
      </c>
      <c r="D893" t="s">
        <v>2672</v>
      </c>
      <c r="E893" t="s">
        <v>3117</v>
      </c>
      <c r="F893" t="s">
        <v>3131</v>
      </c>
      <c r="G893" s="2" t="s">
        <v>4023</v>
      </c>
      <c r="H893">
        <v>6.58E-05</v>
      </c>
      <c r="I893">
        <v>5.39E-05</v>
      </c>
      <c r="J893">
        <v>0.0001197</v>
      </c>
    </row>
    <row r="894" spans="1:10">
      <c r="A894">
        <f>HYPERLINK("https://mega.nz/file/6Edh3C7K#kyUTMAPL0ie1eBhSd_PNra8Mf5bnFL2YJQhtvHS2c-k", "The 3rd Book of Occult Philosophy")</f>
        <v>0</v>
      </c>
      <c r="B894" t="s">
        <v>195</v>
      </c>
      <c r="C894" t="s">
        <v>1357</v>
      </c>
      <c r="D894" t="s">
        <v>2673</v>
      </c>
      <c r="E894" t="s">
        <v>3117</v>
      </c>
      <c r="F894" t="s">
        <v>3131</v>
      </c>
      <c r="G894" s="2" t="s">
        <v>4024</v>
      </c>
      <c r="H894">
        <v>6.58E-05</v>
      </c>
      <c r="I894">
        <v>5.46E-05</v>
      </c>
      <c r="J894">
        <v>0.0001204</v>
      </c>
    </row>
    <row r="895" spans="1:10">
      <c r="A895">
        <f>HYPERLINK("https://mega.nz/file/LVsgnCCb#VuF2jY16_xOAiUFMRQS_Sm3fFnNqVbWq5aR5ReIftIw", "Auto Hipnosis")</f>
        <v>0</v>
      </c>
      <c r="B895" t="s">
        <v>196</v>
      </c>
      <c r="C895" t="s">
        <v>1358</v>
      </c>
      <c r="D895" t="s">
        <v>2674</v>
      </c>
      <c r="E895" t="s">
        <v>3117</v>
      </c>
      <c r="F895" t="s">
        <v>3131</v>
      </c>
      <c r="G895" s="2" t="s">
        <v>4025</v>
      </c>
      <c r="H895">
        <v>5.95E-05</v>
      </c>
      <c r="I895">
        <v>6.160000000000001E-05</v>
      </c>
      <c r="J895">
        <v>0.0001211</v>
      </c>
    </row>
    <row r="896" spans="1:10">
      <c r="A896">
        <f>HYPERLINK("https://mega.nz/file/HUkQGBYA#0OyEHGVjtJbynifnnr0QAGgZUhPpU0oA_LGPKSwxW68", "Auto hipnosis")</f>
        <v>0</v>
      </c>
      <c r="B896" t="s">
        <v>196</v>
      </c>
      <c r="C896" t="s">
        <v>1359</v>
      </c>
      <c r="D896" t="s">
        <v>2675</v>
      </c>
      <c r="E896" t="s">
        <v>3117</v>
      </c>
      <c r="F896" t="s">
        <v>3131</v>
      </c>
      <c r="G896" s="2" t="s">
        <v>4026</v>
      </c>
      <c r="H896">
        <v>6.09E-05</v>
      </c>
      <c r="I896">
        <v>5.39E-05</v>
      </c>
      <c r="J896">
        <v>0.0001148</v>
      </c>
    </row>
    <row r="897" spans="1:10">
      <c r="A897">
        <f>HYPERLINK("https://mega.nz/file/vNNiSRJI#_-VwwzL2Jiela9CvmscU26WoiUyyZZNcAkZ79LCfx_Q", "Alchemy Ancient and Modern")</f>
        <v>0</v>
      </c>
      <c r="B897" t="s">
        <v>197</v>
      </c>
      <c r="C897" t="s">
        <v>1360</v>
      </c>
      <c r="D897" t="s">
        <v>2676</v>
      </c>
      <c r="E897" t="s">
        <v>1584</v>
      </c>
      <c r="F897" t="s">
        <v>3131</v>
      </c>
      <c r="G897" s="2" t="s">
        <v>4027</v>
      </c>
      <c r="H897">
        <v>6.160000000000001E-05</v>
      </c>
      <c r="I897">
        <v>5.25E-05</v>
      </c>
      <c r="J897">
        <v>0.0001141</v>
      </c>
    </row>
    <row r="898" spans="1:10">
      <c r="A898">
        <f>HYPERLINK("https://mega.nz/file/jQNG1JpB#bOcTaH1oTJJvRCsyVHkQabeJlkNuAEmAm7ytUgCpQsQ", "The Emerald Tablet")</f>
        <v>0</v>
      </c>
      <c r="B898" t="s">
        <v>198</v>
      </c>
      <c r="C898" t="s">
        <v>1361</v>
      </c>
      <c r="D898" t="s">
        <v>2677</v>
      </c>
      <c r="E898" t="s">
        <v>3117</v>
      </c>
      <c r="F898" t="s">
        <v>3131</v>
      </c>
      <c r="G898" s="2" t="s">
        <v>4028</v>
      </c>
      <c r="H898">
        <v>5.705E-05</v>
      </c>
      <c r="I898">
        <v>4.9E-05</v>
      </c>
      <c r="J898">
        <v>0.00010605</v>
      </c>
    </row>
    <row r="899" spans="1:10">
      <c r="A899">
        <f>HYPERLINK("https://mega.nz/file/PR8XxYAJ#aggnQwK1LLlvgupRwmu0Dcq9_04EkdBZzvaYJtkfSS4", "Textos Herméticos")</f>
        <v>0</v>
      </c>
      <c r="B899" t="s">
        <v>199</v>
      </c>
      <c r="C899" t="s">
        <v>1362</v>
      </c>
      <c r="D899" t="s">
        <v>2678</v>
      </c>
      <c r="E899" t="s">
        <v>3117</v>
      </c>
      <c r="F899" t="s">
        <v>3131</v>
      </c>
      <c r="G899" s="2" t="s">
        <v>4029</v>
      </c>
      <c r="H899">
        <v>6.65E-05</v>
      </c>
      <c r="I899">
        <v>5.145E-05</v>
      </c>
      <c r="J899">
        <v>0.00011795</v>
      </c>
    </row>
    <row r="900" spans="1:10">
      <c r="A900">
        <f>HYPERLINK("https://mega.nz/file/fNFERKLD#97XbVSMNksovbnaX2_uo53UtQNYEBikedgDUWPK32AI", "Textos Herméticos")</f>
        <v>0</v>
      </c>
      <c r="B900" t="s">
        <v>199</v>
      </c>
      <c r="C900" t="s">
        <v>1362</v>
      </c>
      <c r="D900" t="s">
        <v>2679</v>
      </c>
      <c r="E900" t="s">
        <v>3117</v>
      </c>
      <c r="F900" t="s">
        <v>3131</v>
      </c>
      <c r="G900" s="2" t="s">
        <v>4030</v>
      </c>
      <c r="H900">
        <v>6.334999999999999E-05</v>
      </c>
      <c r="I900">
        <v>5.355E-05</v>
      </c>
      <c r="J900">
        <v>0.0001169</v>
      </c>
    </row>
    <row r="901" spans="1:10">
      <c r="A901">
        <f>HYPERLINK("https://mega.nz/file/DY01kLqT#hXb4vI1vdKweJKEd3FCI_j_b9vZgsKrDdMSXQMjJ0HE", "Golden Tractate")</f>
        <v>0</v>
      </c>
      <c r="B901" t="s">
        <v>200</v>
      </c>
      <c r="C901" t="s">
        <v>1363</v>
      </c>
      <c r="D901" t="s">
        <v>2680</v>
      </c>
      <c r="E901" t="s">
        <v>3117</v>
      </c>
      <c r="F901" t="s">
        <v>3131</v>
      </c>
      <c r="G901" s="2" t="s">
        <v>4031</v>
      </c>
      <c r="H901">
        <v>6.23E-05</v>
      </c>
      <c r="I901">
        <v>5.705E-05</v>
      </c>
      <c r="J901">
        <v>0.00011935</v>
      </c>
    </row>
    <row r="902" spans="1:10">
      <c r="A902">
        <f>HYPERLINK("https://mega.nz/file/bdc2xIoS#wsh6-IzCA6RrDU-0Sa-ljkIQjsnKAXQUo35PKzLshog", "Solar Biology")</f>
        <v>0</v>
      </c>
      <c r="B902" t="s">
        <v>201</v>
      </c>
      <c r="C902" t="s">
        <v>1364</v>
      </c>
      <c r="D902" t="s">
        <v>2681</v>
      </c>
      <c r="E902" t="s">
        <v>3117</v>
      </c>
      <c r="F902" t="s">
        <v>3131</v>
      </c>
      <c r="G902" s="2" t="s">
        <v>4032</v>
      </c>
      <c r="H902">
        <v>6.3E-05</v>
      </c>
      <c r="I902">
        <v>5.53E-05</v>
      </c>
      <c r="J902">
        <v>0.0001183</v>
      </c>
    </row>
    <row r="903" spans="1:10">
      <c r="A903">
        <f>HYPERLINK("https://mega.nz/file/KMEixTAC#I69q84fN1XMyWxH7nvOENFWnaUAcflwd8PFV2N3S-Tk", "New World Order")</f>
        <v>0</v>
      </c>
      <c r="B903" t="s">
        <v>202</v>
      </c>
      <c r="C903" t="s">
        <v>1365</v>
      </c>
      <c r="D903" t="s">
        <v>2682</v>
      </c>
      <c r="E903" t="s">
        <v>3117</v>
      </c>
      <c r="F903" t="s">
        <v>3131</v>
      </c>
      <c r="G903" s="2" t="s">
        <v>4033</v>
      </c>
      <c r="H903">
        <v>5.915E-05</v>
      </c>
      <c r="I903">
        <v>4.97E-05</v>
      </c>
      <c r="J903">
        <v>0.00010885</v>
      </c>
    </row>
    <row r="904" spans="1:10">
      <c r="A904">
        <f>HYPERLINK("https://mega.nz/file/DFFkDb5B#vzmstpLY1abhxsw2gJgXeYG1W7soVaTosJxx2ayqQRE", "Astrología de la Figura de Aspectos")</f>
        <v>0</v>
      </c>
      <c r="B904" t="s">
        <v>203</v>
      </c>
      <c r="C904" t="s">
        <v>1366</v>
      </c>
      <c r="D904" t="s">
        <v>2683</v>
      </c>
      <c r="E904" t="s">
        <v>3117</v>
      </c>
      <c r="F904" t="s">
        <v>3130</v>
      </c>
      <c r="G904" s="2" t="s">
        <v>4034</v>
      </c>
      <c r="H904">
        <v>6.545000000000001E-05</v>
      </c>
      <c r="I904">
        <v>6.23E-05</v>
      </c>
      <c r="J904">
        <v>0.00012775</v>
      </c>
    </row>
    <row r="905" spans="1:10">
      <c r="A905">
        <f>HYPERLINK("https://mega.nz/file/GAsTkCBT#H0HAS1f0dDsqgQNwrid2xoqFIgJypY0t_6JKMqoe9ow", "De Mysteriis Aegyptiorum")</f>
        <v>0</v>
      </c>
      <c r="B905" t="s">
        <v>204</v>
      </c>
      <c r="C905" t="s">
        <v>1367</v>
      </c>
      <c r="D905" t="s">
        <v>2684</v>
      </c>
      <c r="E905" t="s">
        <v>3117</v>
      </c>
      <c r="F905" t="s">
        <v>3130</v>
      </c>
      <c r="G905" s="2" t="s">
        <v>4035</v>
      </c>
      <c r="H905">
        <v>6.475E-05</v>
      </c>
      <c r="I905">
        <v>7.385000000000001E-05</v>
      </c>
      <c r="J905">
        <v>0.0001386</v>
      </c>
    </row>
    <row r="906" spans="1:10">
      <c r="A906">
        <f>HYPERLINK("https://mega.nz/file/6V8C2bCK#68TJ1yMy3IKrteGmJqOT8bsDW846xUH4qZa1-5UWA48", "Cabala Nuevas Perspectivas")</f>
        <v>0</v>
      </c>
      <c r="B906" t="s">
        <v>205</v>
      </c>
      <c r="C906" t="s">
        <v>1368</v>
      </c>
      <c r="D906" t="s">
        <v>2685</v>
      </c>
      <c r="E906" t="s">
        <v>3118</v>
      </c>
      <c r="F906" t="s">
        <v>3131</v>
      </c>
      <c r="G906" s="2" t="s">
        <v>4036</v>
      </c>
      <c r="H906">
        <v>6.545000000000001E-05</v>
      </c>
      <c r="I906">
        <v>5.915E-05</v>
      </c>
      <c r="J906">
        <v>0.0001246</v>
      </c>
    </row>
    <row r="907" spans="1:10">
      <c r="A907">
        <f>HYPERLINK("https://mega.nz/file/WRsSDATR#40pysdLGc4iPxQFj14Sto7tyATCLmzosWVODgGuhWcs", "Diccionario Codigo Da Vinci")</f>
        <v>0</v>
      </c>
      <c r="B907" t="s">
        <v>206</v>
      </c>
      <c r="C907" t="s">
        <v>1369</v>
      </c>
      <c r="D907" t="s">
        <v>2686</v>
      </c>
      <c r="E907" t="s">
        <v>3117</v>
      </c>
      <c r="F907" t="s">
        <v>3131</v>
      </c>
      <c r="G907" s="2" t="s">
        <v>4037</v>
      </c>
      <c r="H907">
        <v>6.160000000000001E-05</v>
      </c>
      <c r="I907">
        <v>5.11E-05</v>
      </c>
      <c r="J907">
        <v>0.0001127</v>
      </c>
    </row>
    <row r="908" spans="1:10">
      <c r="A908">
        <f>HYPERLINK("https://mega.nz/file/WEk0DahD#-8xY7iCJXFHm-8yHsh3GeCc7HAMX0XCr-zL8Uvg4L0Y", "Ancient Faiths Embodied in Ancient Names")</f>
        <v>0</v>
      </c>
      <c r="B908" t="s">
        <v>207</v>
      </c>
      <c r="C908" t="s">
        <v>1370</v>
      </c>
      <c r="D908" t="s">
        <v>2687</v>
      </c>
      <c r="E908" t="s">
        <v>3117</v>
      </c>
      <c r="F908" t="s">
        <v>3131</v>
      </c>
      <c r="G908" s="2" t="s">
        <v>4038</v>
      </c>
      <c r="H908">
        <v>6.58E-05</v>
      </c>
      <c r="I908">
        <v>5.95E-05</v>
      </c>
      <c r="J908">
        <v>0.0001253</v>
      </c>
    </row>
    <row r="909" spans="1:10">
      <c r="A909">
        <f>HYPERLINK("https://mega.nz/file/mI8VlYZD#ZNAlzzk-nQRoKmyzqFqvEKqzw0zGLSrdO32wMbRNGJs", "Espiritualidad Y Teologia Druidica")</f>
        <v>0</v>
      </c>
      <c r="B909" t="s">
        <v>208</v>
      </c>
      <c r="C909" t="s">
        <v>1371</v>
      </c>
      <c r="D909" t="s">
        <v>2688</v>
      </c>
      <c r="E909" t="s">
        <v>3117</v>
      </c>
      <c r="F909" t="s">
        <v>3130</v>
      </c>
      <c r="G909" s="2" t="s">
        <v>4039</v>
      </c>
      <c r="H909">
        <v>6.719999999999999E-05</v>
      </c>
      <c r="I909">
        <v>6.334999999999999E-05</v>
      </c>
      <c r="J909">
        <v>0.00013055</v>
      </c>
    </row>
    <row r="910" spans="1:10">
      <c r="A910">
        <f>HYPERLINK("https://mega.nz/file/HYkSQIYZ#8-4rHfxaqEn8wZEzEnHX3VaO8ozWAzedLIVWpS_Jn8U", "Sobre Iniciaciones Druidicas")</f>
        <v>0</v>
      </c>
      <c r="B910" t="s">
        <v>208</v>
      </c>
      <c r="C910" t="s">
        <v>1372</v>
      </c>
      <c r="D910" t="s">
        <v>2689</v>
      </c>
      <c r="E910" t="s">
        <v>3117</v>
      </c>
      <c r="F910" t="s">
        <v>3131</v>
      </c>
      <c r="G910" s="2" t="s">
        <v>4040</v>
      </c>
      <c r="H910">
        <v>6.719999999999999E-05</v>
      </c>
      <c r="I910">
        <v>5.53E-05</v>
      </c>
      <c r="J910">
        <v>0.0001225</v>
      </c>
    </row>
    <row r="911" spans="1:10">
      <c r="A911">
        <f>HYPERLINK("https://mega.nz/file/eVVWgLyQ#WaIMQt_iSuWuq4r_Cf_tEDBYE3HWWHZk6aja3mbcvtU", "Tesauro y Diccionario de Objetos Asociados a Ritos Cultos y Creencias")</f>
        <v>0</v>
      </c>
      <c r="B911" t="s">
        <v>209</v>
      </c>
      <c r="C911" t="s">
        <v>1373</v>
      </c>
      <c r="D911" t="s">
        <v>2690</v>
      </c>
      <c r="E911" t="s">
        <v>3117</v>
      </c>
      <c r="F911" t="s">
        <v>3130</v>
      </c>
      <c r="G911" s="2" t="s">
        <v>4041</v>
      </c>
      <c r="H911">
        <v>8.224999999999999E-05</v>
      </c>
      <c r="I911">
        <v>6.195E-05</v>
      </c>
      <c r="J911">
        <v>0.0001442</v>
      </c>
    </row>
    <row r="912" spans="1:10">
      <c r="A912">
        <f>HYPERLINK("https://mega.nz/file/TJk2xKjZ#e_O_fUOrC2VoK-9K1jjg8dCTp2mw3uF1shUIlOaRXsc", "Art &amp; Meaning of Magic")</f>
        <v>0</v>
      </c>
      <c r="B912" t="s">
        <v>210</v>
      </c>
      <c r="C912" t="s">
        <v>1374</v>
      </c>
      <c r="D912" t="s">
        <v>2691</v>
      </c>
      <c r="E912" t="s">
        <v>3117</v>
      </c>
      <c r="F912" t="s">
        <v>3131</v>
      </c>
      <c r="G912" s="2" t="s">
        <v>4042</v>
      </c>
      <c r="H912">
        <v>6.160000000000001E-05</v>
      </c>
      <c r="I912">
        <v>4.97E-05</v>
      </c>
      <c r="J912">
        <v>0.0001113</v>
      </c>
    </row>
    <row r="913" spans="1:10">
      <c r="A913">
        <f>HYPERLINK("https://mega.nz/file/XAUQGABa#y76lbAGthTj45Sz3NpeMsWWOb2-QsGzvx_68ExBrpNA", "The Complete Golden Dawn System of Magic")</f>
        <v>0</v>
      </c>
      <c r="B913" t="s">
        <v>210</v>
      </c>
      <c r="C913" t="s">
        <v>1375</v>
      </c>
      <c r="D913" t="s">
        <v>2692</v>
      </c>
      <c r="E913" t="s">
        <v>3117</v>
      </c>
      <c r="F913" t="s">
        <v>3131</v>
      </c>
      <c r="G913" s="2" t="s">
        <v>4043</v>
      </c>
      <c r="H913">
        <v>6.37E-05</v>
      </c>
      <c r="I913">
        <v>5.18E-05</v>
      </c>
      <c r="J913">
        <v>0.0001155</v>
      </c>
    </row>
    <row r="914" spans="1:10">
      <c r="A914">
        <f>HYPERLINK("https://mega.nz/file/aJVjQYhR#zFYFx-_164gwDvbtwIOsZS9TlGZO9N3KBSs1Ove5aeY", "The Middle Pillar")</f>
        <v>0</v>
      </c>
      <c r="B914" t="s">
        <v>210</v>
      </c>
      <c r="C914" t="s">
        <v>1376</v>
      </c>
      <c r="D914" t="s">
        <v>2693</v>
      </c>
      <c r="E914" t="s">
        <v>3117</v>
      </c>
      <c r="F914" t="s">
        <v>3131</v>
      </c>
      <c r="G914" s="2" t="s">
        <v>4044</v>
      </c>
      <c r="H914">
        <v>5.95E-05</v>
      </c>
      <c r="I914">
        <v>5.25E-05</v>
      </c>
      <c r="J914">
        <v>0.000112</v>
      </c>
    </row>
    <row r="915" spans="1:10">
      <c r="A915">
        <f>HYPERLINK("https://mega.nz/file/TIlnFbaI#FQGgrvlg-DPhJtlF-EM40tEPebJORKs4JZqR97J0YAE", "The Tree of Life - A Study In Magic")</f>
        <v>0</v>
      </c>
      <c r="B915" t="s">
        <v>210</v>
      </c>
      <c r="C915" t="s">
        <v>1377</v>
      </c>
      <c r="D915" t="s">
        <v>2694</v>
      </c>
      <c r="E915" t="s">
        <v>3117</v>
      </c>
      <c r="F915" t="s">
        <v>3131</v>
      </c>
      <c r="G915" s="2" t="s">
        <v>4045</v>
      </c>
      <c r="H915">
        <v>6.58E-05</v>
      </c>
      <c r="I915">
        <v>5.11E-05</v>
      </c>
      <c r="J915">
        <v>0.0001169</v>
      </c>
    </row>
    <row r="916" spans="1:10">
      <c r="A916">
        <f>HYPERLINK("https://mega.nz/file/3EEThIZK#79bVHp5b-ESj588UOa7yuImqus4nm06IdnZ2S0gk7pk", "Twixt Two Worlds")</f>
        <v>0</v>
      </c>
      <c r="B916" t="s">
        <v>211</v>
      </c>
      <c r="C916" t="s">
        <v>1378</v>
      </c>
      <c r="D916" t="s">
        <v>2695</v>
      </c>
      <c r="E916" t="s">
        <v>3117</v>
      </c>
      <c r="F916" t="s">
        <v>3131</v>
      </c>
      <c r="G916" s="2" t="s">
        <v>4046</v>
      </c>
      <c r="H916">
        <v>5.95E-05</v>
      </c>
      <c r="I916">
        <v>5.46E-05</v>
      </c>
      <c r="J916">
        <v>0.0001141</v>
      </c>
    </row>
    <row r="917" spans="1:10">
      <c r="A917">
        <f>HYPERLINK("https://mega.nz/file/rJNXWTDB#GIQlIW8Vda8nFvygAdxSQnlMyMxoEQELyfK0GgFAHt8", "Secret Wisdom of the Qabalah")</f>
        <v>0</v>
      </c>
      <c r="B917" t="s">
        <v>212</v>
      </c>
      <c r="C917" t="s">
        <v>1379</v>
      </c>
      <c r="D917" t="s">
        <v>2696</v>
      </c>
      <c r="E917" t="s">
        <v>3118</v>
      </c>
      <c r="F917" t="s">
        <v>3131</v>
      </c>
      <c r="G917" s="2" t="s">
        <v>4047</v>
      </c>
      <c r="H917">
        <v>6.685E-05</v>
      </c>
      <c r="I917">
        <v>5.355E-05</v>
      </c>
      <c r="J917">
        <v>0.0001204</v>
      </c>
    </row>
    <row r="918" spans="1:10">
      <c r="A918">
        <f>HYPERLINK("https://mega.nz/file/aR0niKqJ#_gFdjTfBBuYUK5ZDkD2DTXuE4ZaW7RSi8voWjWG6hSw", "El Gran Arte De La Alquimia")</f>
        <v>0</v>
      </c>
      <c r="B918" t="s">
        <v>213</v>
      </c>
      <c r="C918" t="s">
        <v>1380</v>
      </c>
      <c r="D918" t="s">
        <v>2697</v>
      </c>
      <c r="E918" t="s">
        <v>1584</v>
      </c>
      <c r="F918" t="s">
        <v>3130</v>
      </c>
      <c r="G918" s="2" t="s">
        <v>4048</v>
      </c>
      <c r="H918">
        <v>6.58E-05</v>
      </c>
      <c r="I918">
        <v>5.88E-05</v>
      </c>
      <c r="J918">
        <v>0.0001246</v>
      </c>
    </row>
    <row r="919" spans="1:10">
      <c r="A919">
        <f>HYPERLINK("https://mega.nz/file/7Z1xQIyQ#ujm9k9v-hlxlaPDPQiZZIHQnsCx2bCjrrkRdc8Sy5Jw", "Cristianismo Primitivo y Paideia Griega")</f>
        <v>0</v>
      </c>
      <c r="B919" t="s">
        <v>214</v>
      </c>
      <c r="C919" t="s">
        <v>1381</v>
      </c>
      <c r="D919" t="s">
        <v>2698</v>
      </c>
      <c r="E919" t="s">
        <v>3117</v>
      </c>
      <c r="F919" t="s">
        <v>3130</v>
      </c>
      <c r="G919" s="2" t="s">
        <v>4049</v>
      </c>
      <c r="H919">
        <v>6.895E-05</v>
      </c>
      <c r="I919">
        <v>5.705E-05</v>
      </c>
      <c r="J919">
        <v>0.000126</v>
      </c>
    </row>
    <row r="920" spans="1:10">
      <c r="A920">
        <f>HYPERLINK("https://mega.nz/file/eBtEQaIQ#nprBOpqsQaa8FxIsD-zyd-AOUuo32dm3WZWpsFfSqQs", "Sobre Los Misterios Egipcios")</f>
        <v>0</v>
      </c>
      <c r="B920" t="s">
        <v>215</v>
      </c>
      <c r="C920" t="s">
        <v>1382</v>
      </c>
      <c r="D920" t="s">
        <v>2699</v>
      </c>
      <c r="E920" t="s">
        <v>3117</v>
      </c>
      <c r="F920" t="s">
        <v>3130</v>
      </c>
      <c r="G920" s="2" t="s">
        <v>4050</v>
      </c>
      <c r="H920">
        <v>6.23E-05</v>
      </c>
      <c r="I920">
        <v>6.685E-05</v>
      </c>
      <c r="J920">
        <v>0.00012915</v>
      </c>
    </row>
    <row r="921" spans="1:10">
      <c r="A921">
        <f>HYPERLINK("https://mega.nz/file/vYMAHRwT#X8_v3fjexHUXAg1yGRWkAzVE2id9TOmaQv4FyJcACKw", "As A Man Thinks")</f>
        <v>0</v>
      </c>
      <c r="B921" t="s">
        <v>216</v>
      </c>
      <c r="C921" t="s">
        <v>1383</v>
      </c>
      <c r="D921" t="s">
        <v>2700</v>
      </c>
      <c r="E921" t="s">
        <v>3117</v>
      </c>
      <c r="F921" t="s">
        <v>3131</v>
      </c>
      <c r="G921" s="2" t="s">
        <v>4051</v>
      </c>
      <c r="H921">
        <v>5.95E-05</v>
      </c>
      <c r="I921">
        <v>4.41E-05</v>
      </c>
      <c r="J921">
        <v>0.0001036</v>
      </c>
    </row>
    <row r="922" spans="1:10">
      <c r="A922">
        <f>HYPERLINK("https://mega.nz/file/mE8D0Jia#wl9wLH5uXa6-kYzu9939uA2djlVfmWQThzJZLWc4LMw", "Seidways")</f>
        <v>0</v>
      </c>
      <c r="B922" t="s">
        <v>217</v>
      </c>
      <c r="C922" t="s">
        <v>1384</v>
      </c>
      <c r="D922" t="s">
        <v>2701</v>
      </c>
      <c r="E922" t="s">
        <v>3117</v>
      </c>
      <c r="F922" t="s">
        <v>3131</v>
      </c>
      <c r="G922" s="2" t="s">
        <v>4052</v>
      </c>
      <c r="H922">
        <v>5.81E-05</v>
      </c>
      <c r="I922">
        <v>5.32E-05</v>
      </c>
      <c r="J922">
        <v>0.0001113</v>
      </c>
    </row>
    <row r="923" spans="1:10">
      <c r="A923">
        <f>HYPERLINK("https://mega.nz/file/DQtnQKiC#Dx1IfbCyKshZAkbeJLktpQrXxYaWuyhIK_qBHcFEQKI", "Sociedades Secretas y su poder en el siglo XX")</f>
        <v>0</v>
      </c>
      <c r="B923" t="s">
        <v>218</v>
      </c>
      <c r="C923" t="s">
        <v>1385</v>
      </c>
      <c r="D923" t="s">
        <v>2702</v>
      </c>
      <c r="E923" t="s">
        <v>3117</v>
      </c>
      <c r="F923" t="s">
        <v>3130</v>
      </c>
      <c r="G923" s="2" t="s">
        <v>4053</v>
      </c>
      <c r="H923">
        <v>6.93E-05</v>
      </c>
      <c r="I923">
        <v>5.425E-05</v>
      </c>
      <c r="J923">
        <v>0.00012355</v>
      </c>
    </row>
    <row r="924" spans="1:10">
      <c r="A924">
        <f>HYPERLINK("https://mega.nz/file/7JNgEaAR#GSUJKVbo1hoC3asAGOiO04PuY3ujoZY806k9dU5BPv0", "The New Hermetics, 21st Century Magick for Illumination and Power")</f>
        <v>0</v>
      </c>
      <c r="B924" t="s">
        <v>219</v>
      </c>
      <c r="C924" t="s">
        <v>1386</v>
      </c>
      <c r="D924" t="s">
        <v>2703</v>
      </c>
      <c r="E924" t="s">
        <v>3117</v>
      </c>
      <c r="F924" t="s">
        <v>3131</v>
      </c>
      <c r="G924" s="2" t="s">
        <v>4054</v>
      </c>
      <c r="H924">
        <v>7.42E-05</v>
      </c>
      <c r="I924">
        <v>5.25E-05</v>
      </c>
      <c r="J924">
        <v>0.0001267</v>
      </c>
    </row>
    <row r="925" spans="1:10">
      <c r="A925">
        <f>HYPERLINK("https://mega.nz/file/SNEwVaQL#OtF7oZxW7wNLKt-3yRYDg4925fGIDxSV90u6OxP7EPM", "The Sorcerer's Secrets: Strategies in Practical Magick")</f>
        <v>0</v>
      </c>
      <c r="B925" t="s">
        <v>220</v>
      </c>
      <c r="C925" t="s">
        <v>1387</v>
      </c>
      <c r="D925" t="s">
        <v>2704</v>
      </c>
      <c r="E925" t="s">
        <v>3117</v>
      </c>
      <c r="F925" t="s">
        <v>3131</v>
      </c>
      <c r="G925" s="2" t="s">
        <v>4055</v>
      </c>
      <c r="H925">
        <v>6.719999999999999E-05</v>
      </c>
      <c r="I925">
        <v>5.145E-05</v>
      </c>
      <c r="J925">
        <v>0.00011865</v>
      </c>
    </row>
    <row r="926" spans="1:10">
      <c r="A926">
        <f>HYPERLINK("https://mega.nz/file/TEMQkBIY#h2jTILSLC1-gfmwfSU4uXGs2A6TWGdMC7It2LW63ty0", "La Clave Secreta De Los Numeros")</f>
        <v>0</v>
      </c>
      <c r="B926" t="s">
        <v>221</v>
      </c>
      <c r="C926" t="s">
        <v>1388</v>
      </c>
      <c r="D926" t="s">
        <v>2705</v>
      </c>
      <c r="E926" t="s">
        <v>3117</v>
      </c>
      <c r="F926" t="s">
        <v>3130</v>
      </c>
      <c r="G926" s="2" t="s">
        <v>4056</v>
      </c>
      <c r="H926">
        <v>6.685E-05</v>
      </c>
      <c r="I926">
        <v>5.355E-05</v>
      </c>
      <c r="J926">
        <v>0.0001204</v>
      </c>
    </row>
    <row r="927" spans="1:10">
      <c r="A927">
        <f>HYPERLINK("https://mega.nz/file/SdcnnBQY#-f7aOhG-qa3hWLPsh8HJVZdXd4jIXaR2uVlcnjlTels", "Historia del esoterismo y de las ciencias ocultas")</f>
        <v>0</v>
      </c>
      <c r="B927" t="s">
        <v>222</v>
      </c>
      <c r="C927" t="s">
        <v>1389</v>
      </c>
      <c r="D927" t="s">
        <v>2706</v>
      </c>
      <c r="E927" t="s">
        <v>3117</v>
      </c>
      <c r="F927" t="s">
        <v>3130</v>
      </c>
      <c r="G927" s="2" t="s">
        <v>4057</v>
      </c>
      <c r="H927">
        <v>6.999999999999999E-05</v>
      </c>
      <c r="I927">
        <v>5.915E-05</v>
      </c>
      <c r="J927">
        <v>0.00012915</v>
      </c>
    </row>
    <row r="928" spans="1:10">
      <c r="A928">
        <f>HYPERLINK("https://mega.nz/file/vJtyQBgY#XcOXls0sl9cTf6iO59yh_RLLsEXPw0_AeUZx1wMJqg8", "Las Sociedades Secretas")</f>
        <v>0</v>
      </c>
      <c r="B928" t="s">
        <v>223</v>
      </c>
      <c r="C928" t="s">
        <v>1390</v>
      </c>
      <c r="D928" t="s">
        <v>2707</v>
      </c>
      <c r="E928" t="s">
        <v>3117</v>
      </c>
      <c r="F928" t="s">
        <v>3130</v>
      </c>
      <c r="G928" s="2" t="s">
        <v>4058</v>
      </c>
      <c r="H928">
        <v>6.195E-05</v>
      </c>
      <c r="I928">
        <v>6.545000000000001E-05</v>
      </c>
      <c r="J928">
        <v>0.0001274</v>
      </c>
    </row>
    <row r="929" spans="1:10">
      <c r="A929">
        <f>HYPERLINK("https://mega.nz/file/PUs1lICY#h0H-hfVv2jYll_VKHkl1RkBZKQPVyPxypomEDse-qs4", "En Busca Del Misterio")</f>
        <v>0</v>
      </c>
      <c r="B929" t="s">
        <v>224</v>
      </c>
      <c r="C929" t="s">
        <v>1391</v>
      </c>
      <c r="D929" t="s">
        <v>2708</v>
      </c>
      <c r="E929" t="s">
        <v>3117</v>
      </c>
      <c r="F929" t="s">
        <v>3130</v>
      </c>
      <c r="G929" s="2" t="s">
        <v>4059</v>
      </c>
      <c r="H929">
        <v>6.265E-05</v>
      </c>
      <c r="I929">
        <v>5.915E-05</v>
      </c>
      <c r="J929">
        <v>0.0001218</v>
      </c>
    </row>
    <row r="930" spans="1:10">
      <c r="A930">
        <f>HYPERLINK("https://mega.nz/file/XM9S2ahB#re7FiwNN-kB3MjuwV5ITR6Ff9BIJ84__wcU30UL5bnM", "Enigmas Sin Resolver")</f>
        <v>0</v>
      </c>
      <c r="B930" t="s">
        <v>225</v>
      </c>
      <c r="C930" t="s">
        <v>1392</v>
      </c>
      <c r="D930" t="s">
        <v>2709</v>
      </c>
      <c r="E930" t="s">
        <v>3117</v>
      </c>
      <c r="F930" t="s">
        <v>3131</v>
      </c>
      <c r="G930" s="2" t="s">
        <v>4060</v>
      </c>
      <c r="H930">
        <v>6.160000000000001E-05</v>
      </c>
      <c r="I930">
        <v>6.02E-05</v>
      </c>
      <c r="J930">
        <v>0.0001218</v>
      </c>
    </row>
    <row r="931" spans="1:10">
      <c r="A931">
        <f>HYPERLINK("https://mega.nz/file/3YV10KgY#p9a6f8ChrFrAY-CZP5RAIDGNkz5iBhGnVPnQYRFr0E0", "Rituales Orficos")</f>
        <v>0</v>
      </c>
      <c r="B931" t="s">
        <v>226</v>
      </c>
      <c r="C931" t="s">
        <v>1393</v>
      </c>
      <c r="D931" t="s">
        <v>2710</v>
      </c>
      <c r="E931" t="s">
        <v>3117</v>
      </c>
      <c r="F931" t="s">
        <v>3131</v>
      </c>
      <c r="G931" s="2" t="s">
        <v>4061</v>
      </c>
      <c r="H931">
        <v>6.475E-05</v>
      </c>
      <c r="I931">
        <v>4.795E-05</v>
      </c>
      <c r="J931">
        <v>0.0001127</v>
      </c>
    </row>
    <row r="932" spans="1:10">
      <c r="A932">
        <f>HYPERLINK("https://mega.nz/file/uFsyDDSR#dKC0WjyCwV-ydt26kHcf6l73PQVOM3GrndXq16YglCc", "Como se Recuerdan las Vidas Pasadas")</f>
        <v>0</v>
      </c>
      <c r="B932" t="s">
        <v>227</v>
      </c>
      <c r="C932" t="s">
        <v>1394</v>
      </c>
      <c r="D932" t="s">
        <v>2711</v>
      </c>
      <c r="E932" t="s">
        <v>3117</v>
      </c>
      <c r="F932" t="s">
        <v>3130</v>
      </c>
      <c r="G932" s="2" t="s">
        <v>4062</v>
      </c>
      <c r="H932">
        <v>6.685E-05</v>
      </c>
      <c r="I932">
        <v>5.705E-05</v>
      </c>
      <c r="J932">
        <v>0.0001239</v>
      </c>
    </row>
    <row r="933" spans="1:10">
      <c r="A933">
        <f>HYPERLINK("https://mega.nz/file/mMcjVKJJ#x7wQaJ1UzMquOz74QvOtW0PBsg2uJYG2f79x7jVBvRA", "How to be Invisible")</f>
        <v>0</v>
      </c>
      <c r="B933" t="s">
        <v>228</v>
      </c>
      <c r="C933" t="s">
        <v>1395</v>
      </c>
      <c r="D933" t="s">
        <v>2712</v>
      </c>
      <c r="E933" t="s">
        <v>3117</v>
      </c>
      <c r="F933" t="s">
        <v>3131</v>
      </c>
      <c r="G933" s="2" t="s">
        <v>4063</v>
      </c>
      <c r="H933">
        <v>5.845E-05</v>
      </c>
      <c r="I933">
        <v>4.515E-05</v>
      </c>
      <c r="J933">
        <v>0.0001036</v>
      </c>
    </row>
    <row r="934" spans="1:10">
      <c r="A934">
        <f>HYPERLINK("https://mega.nz/file/TVtH0IYC#xEthRT5A9DTdaLIja-fqVmRVcowjMjrJQBrPhiR05QI", "La Ultima Cena Palabras de Jesus")</f>
        <v>0</v>
      </c>
      <c r="B934" t="s">
        <v>229</v>
      </c>
      <c r="C934" t="s">
        <v>1396</v>
      </c>
      <c r="D934" t="s">
        <v>2713</v>
      </c>
      <c r="E934" t="s">
        <v>3117</v>
      </c>
      <c r="F934" t="s">
        <v>3130</v>
      </c>
      <c r="G934" s="2" t="s">
        <v>4064</v>
      </c>
      <c r="H934">
        <v>6.719999999999999E-05</v>
      </c>
      <c r="I934">
        <v>5.845E-05</v>
      </c>
      <c r="J934">
        <v>0.00012565</v>
      </c>
    </row>
    <row r="935" spans="1:10">
      <c r="A935">
        <f>HYPERLINK("https://mega.nz/file/bJ8xibja#tnqCjxXMCh7PKkTXQlo54EAoonBG1NaJev_0pGQYInk", "Magic Mushrooms Around the World")</f>
        <v>0</v>
      </c>
      <c r="B935" t="s">
        <v>230</v>
      </c>
      <c r="C935" t="s">
        <v>1397</v>
      </c>
      <c r="D935" t="s">
        <v>2714</v>
      </c>
      <c r="E935" t="s">
        <v>3117</v>
      </c>
      <c r="F935" t="s">
        <v>3131</v>
      </c>
      <c r="G935" s="2" t="s">
        <v>4065</v>
      </c>
      <c r="H935">
        <v>6.195E-05</v>
      </c>
      <c r="I935">
        <v>5.25E-05</v>
      </c>
      <c r="J935">
        <v>0.00011445</v>
      </c>
    </row>
    <row r="936" spans="1:10">
      <c r="A936">
        <f>HYPERLINK("https://mega.nz/file/zQklVJyS#XvojvvBkMRT3BhFYb2uMVzbHuHjEY8mtlNkXEJ5bmGM", "Kaos")</f>
        <v>0</v>
      </c>
      <c r="B936" t="s">
        <v>231</v>
      </c>
      <c r="C936" t="s">
        <v>1398</v>
      </c>
      <c r="D936" t="s">
        <v>2715</v>
      </c>
      <c r="E936" t="s">
        <v>3125</v>
      </c>
      <c r="F936" t="s">
        <v>3131</v>
      </c>
      <c r="G936" s="2" t="s">
        <v>4066</v>
      </c>
      <c r="H936">
        <v>5.74E-05</v>
      </c>
      <c r="I936">
        <v>5.18E-05</v>
      </c>
      <c r="J936">
        <v>0.0001092</v>
      </c>
    </row>
    <row r="937" spans="1:10">
      <c r="A937">
        <f>HYPERLINK("https://mega.nz/file/bM0CTZLL#SsPgU8OUkwYUJf759OO4o-A4lEN3Clxt0RXM28BR70s", "The Black Raven")</f>
        <v>0</v>
      </c>
      <c r="B937" t="s">
        <v>232</v>
      </c>
      <c r="C937" t="s">
        <v>1017</v>
      </c>
      <c r="D937" t="s">
        <v>2716</v>
      </c>
      <c r="E937" t="s">
        <v>3117</v>
      </c>
      <c r="F937" t="s">
        <v>3131</v>
      </c>
      <c r="G937" s="2" t="s">
        <v>4067</v>
      </c>
      <c r="H937">
        <v>5.74E-05</v>
      </c>
      <c r="I937">
        <v>5.25E-05</v>
      </c>
      <c r="J937">
        <v>0.0001099</v>
      </c>
    </row>
    <row r="938" spans="1:10">
      <c r="A938">
        <f>HYPERLINK("https://mega.nz/file/ORUkhZRA#3CUlUTQGQiNR3V0JWQtiZWxxI4bOmkg2MPjF_4pZH6g", "Concerning The More Certain Fundamentals Of Astrology")</f>
        <v>0</v>
      </c>
      <c r="B938" t="s">
        <v>233</v>
      </c>
      <c r="C938" t="s">
        <v>1399</v>
      </c>
      <c r="D938" t="s">
        <v>2717</v>
      </c>
      <c r="E938" t="s">
        <v>3121</v>
      </c>
      <c r="F938" t="s">
        <v>3131</v>
      </c>
      <c r="G938" s="2" t="s">
        <v>4068</v>
      </c>
      <c r="H938">
        <v>6.160000000000001E-05</v>
      </c>
      <c r="I938">
        <v>4.97E-05</v>
      </c>
      <c r="J938">
        <v>0.0001113</v>
      </c>
    </row>
    <row r="939" spans="1:10">
      <c r="A939">
        <f>HYPERLINK("https://mega.nz/file/rYMFwCZa#BgZNp45fwZZBZyq3iobaLoCUHxLsECpA2KM3BxbDQIo", "Fell Smith")</f>
        <v>0</v>
      </c>
      <c r="B939" t="s">
        <v>234</v>
      </c>
      <c r="C939" t="s">
        <v>1400</v>
      </c>
      <c r="D939" t="s">
        <v>2718</v>
      </c>
      <c r="E939" t="s">
        <v>3117</v>
      </c>
      <c r="F939" t="s">
        <v>3131</v>
      </c>
      <c r="G939" s="2" t="s">
        <v>4069</v>
      </c>
      <c r="H939">
        <v>5.705E-05</v>
      </c>
      <c r="I939">
        <v>5.25E-05</v>
      </c>
      <c r="J939">
        <v>0.00010955</v>
      </c>
    </row>
    <row r="940" spans="1:10">
      <c r="A940">
        <f>HYPERLINK("https://mega.nz/file/DMlgSKJa#spYumnDloqiiDLaaXwnG3I47UTj4s3DNnTEC4JcVmXI", "Liber Tertius")</f>
        <v>0</v>
      </c>
      <c r="B940" t="s">
        <v>234</v>
      </c>
      <c r="C940" t="s">
        <v>1401</v>
      </c>
      <c r="D940" t="s">
        <v>2719</v>
      </c>
      <c r="E940" t="s">
        <v>3117</v>
      </c>
      <c r="F940" t="s">
        <v>3131</v>
      </c>
      <c r="G940" s="2" t="s">
        <v>4070</v>
      </c>
      <c r="H940">
        <v>5.775E-05</v>
      </c>
      <c r="I940">
        <v>5.04E-05</v>
      </c>
      <c r="J940">
        <v>0.00010815</v>
      </c>
    </row>
    <row r="941" spans="1:10">
      <c r="A941">
        <f>HYPERLINK("https://mega.nz/file/eINDXI6R#F_F4xKbSowQ3mnMRKj_f3keBTflC_Jj9o1dkNOYYMcI", "Mysteriorum")</f>
        <v>0</v>
      </c>
      <c r="B941" t="s">
        <v>234</v>
      </c>
      <c r="C941" t="s">
        <v>1402</v>
      </c>
      <c r="D941" t="s">
        <v>2720</v>
      </c>
      <c r="E941" t="s">
        <v>3117</v>
      </c>
      <c r="F941" t="s">
        <v>3131</v>
      </c>
      <c r="G941" s="2" t="s">
        <v>4071</v>
      </c>
      <c r="H941">
        <v>5.74E-05</v>
      </c>
      <c r="I941">
        <v>4.9E-05</v>
      </c>
      <c r="J941">
        <v>0.0001064</v>
      </c>
    </row>
    <row r="942" spans="1:10">
      <c r="A942">
        <f>HYPERLINK("https://mega.nz/file/aRMwBSya#9SppM_QYx87P4O8jmzQmmDBzdqyHmh7E8o5CzHII86Y", "Rosiecrucian Secrets")</f>
        <v>0</v>
      </c>
      <c r="B942" t="s">
        <v>234</v>
      </c>
      <c r="C942" t="s">
        <v>1403</v>
      </c>
      <c r="D942" t="s">
        <v>2721</v>
      </c>
      <c r="E942" t="s">
        <v>3117</v>
      </c>
      <c r="F942" t="s">
        <v>3131</v>
      </c>
      <c r="G942" s="2" t="s">
        <v>4072</v>
      </c>
      <c r="H942">
        <v>5.95E-05</v>
      </c>
      <c r="I942">
        <v>5.11E-05</v>
      </c>
      <c r="J942">
        <v>0.0001106</v>
      </c>
    </row>
    <row r="943" spans="1:10">
      <c r="A943">
        <f>HYPERLINK("https://mega.nz/file/uYEHzAwa#tSJxdNGVKb100cUu0TaSt3K8HFQ2Zeg-7TP-h_m25TM", "The Insiders")</f>
        <v>0</v>
      </c>
      <c r="B943" t="s">
        <v>235</v>
      </c>
      <c r="C943" t="s">
        <v>1404</v>
      </c>
      <c r="D943" t="s">
        <v>2722</v>
      </c>
      <c r="E943" t="s">
        <v>3117</v>
      </c>
      <c r="F943" t="s">
        <v>3131</v>
      </c>
      <c r="G943" s="2" t="s">
        <v>4073</v>
      </c>
      <c r="H943">
        <v>5.985E-05</v>
      </c>
      <c r="I943">
        <v>5.32E-05</v>
      </c>
      <c r="J943">
        <v>0.00011305</v>
      </c>
    </row>
    <row r="944" spans="1:10">
      <c r="A944">
        <f>HYPERLINK("https://mega.nz/file/aR8h3RAa#H2vUhdkBM_gJx1dy_wKedGU_jgg3SlNib53NFXZ-M4I", "The Arcane Schools")</f>
        <v>0</v>
      </c>
      <c r="B944" t="s">
        <v>236</v>
      </c>
      <c r="C944" t="s">
        <v>1405</v>
      </c>
      <c r="D944" t="s">
        <v>2723</v>
      </c>
      <c r="E944" t="s">
        <v>3117</v>
      </c>
      <c r="F944" t="s">
        <v>3131</v>
      </c>
      <c r="G944" s="2" t="s">
        <v>4074</v>
      </c>
      <c r="H944">
        <v>5.95E-05</v>
      </c>
      <c r="I944">
        <v>5.6E-05</v>
      </c>
      <c r="J944">
        <v>0.0001155</v>
      </c>
    </row>
    <row r="945" spans="1:10">
      <c r="A945">
        <f>HYPERLINK("https://mega.nz/file/jI9l1CiB#vpACf3nn_ucB-RYXcKh4S0g1ohR_2vJ9aneTSSlBxV0", "La Religión Gnóstica")</f>
        <v>0</v>
      </c>
      <c r="B945" t="s">
        <v>237</v>
      </c>
      <c r="C945" t="s">
        <v>1406</v>
      </c>
      <c r="D945" t="s">
        <v>2724</v>
      </c>
      <c r="E945" t="s">
        <v>3117</v>
      </c>
      <c r="F945" t="s">
        <v>3130</v>
      </c>
      <c r="G945" s="2" t="s">
        <v>4075</v>
      </c>
      <c r="H945">
        <v>6.23E-05</v>
      </c>
      <c r="I945">
        <v>6.02E-05</v>
      </c>
      <c r="J945">
        <v>0.0001225</v>
      </c>
    </row>
    <row r="946" spans="1:10">
      <c r="A946">
        <f>HYPERLINK("https://mega.nz/file/KJ0HRDxY#Roe8e1y3_Ns0To7huthl2g5fr6B2Vnmj9ZwqplYYh84", "Un manual cabalístico para el mago practicante")</f>
        <v>0</v>
      </c>
      <c r="B946" t="s">
        <v>238</v>
      </c>
      <c r="C946" t="s">
        <v>1407</v>
      </c>
      <c r="D946" t="s">
        <v>2725</v>
      </c>
      <c r="E946" t="s">
        <v>3117</v>
      </c>
      <c r="F946" t="s">
        <v>3130</v>
      </c>
      <c r="G946" s="2" t="s">
        <v>4076</v>
      </c>
      <c r="H946">
        <v>7.385000000000001E-05</v>
      </c>
      <c r="I946">
        <v>5.6E-05</v>
      </c>
      <c r="J946">
        <v>0.00012985</v>
      </c>
    </row>
    <row r="947" spans="1:10">
      <c r="A947">
        <f>HYPERLINK("https://mega.nz/file/bJ8RkbKY#gxffeYmxWLM1kz9yCfZf9IJxuRQ_V3cUq_ZJzQTfD0E", "The Paradigmal Pirate")</f>
        <v>0</v>
      </c>
      <c r="B947" t="s">
        <v>239</v>
      </c>
      <c r="C947" t="s">
        <v>1408</v>
      </c>
      <c r="D947" t="s">
        <v>2726</v>
      </c>
      <c r="E947" t="s">
        <v>3117</v>
      </c>
      <c r="F947" t="s">
        <v>3131</v>
      </c>
      <c r="G947" s="2" t="s">
        <v>4077</v>
      </c>
      <c r="H947">
        <v>6.055E-05</v>
      </c>
      <c r="I947">
        <v>5.495E-05</v>
      </c>
      <c r="J947">
        <v>0.0001155</v>
      </c>
    </row>
    <row r="948" spans="1:10">
      <c r="A948">
        <f>HYPERLINK("https://mega.nz/file/yFcQgRSK#-99wDdSjbwivIuetePo5F7OTuZkePmQ-DBuIKPtaqhE", "Diccionario de Simbolos Introduccion")</f>
        <v>0</v>
      </c>
      <c r="B948" t="s">
        <v>240</v>
      </c>
      <c r="C948" t="s">
        <v>1409</v>
      </c>
      <c r="D948" t="s">
        <v>2727</v>
      </c>
      <c r="E948" t="s">
        <v>3117</v>
      </c>
      <c r="F948" t="s">
        <v>3130</v>
      </c>
      <c r="G948" s="2" t="s">
        <v>4078</v>
      </c>
      <c r="H948">
        <v>6.685E-05</v>
      </c>
      <c r="I948">
        <v>5.705E-05</v>
      </c>
      <c r="J948">
        <v>0.0001239</v>
      </c>
    </row>
    <row r="949" spans="1:10">
      <c r="A949">
        <f>HYPERLINK("https://mega.nz/file/fFUwGYbI#ErX7Pq0EYnj2eb69jmD7Feyz01VajWHoEeq8AVufcPQ", "Biblia y Antiguo Oriente")</f>
        <v>0</v>
      </c>
      <c r="B949" t="s">
        <v>241</v>
      </c>
      <c r="C949" t="s">
        <v>1410</v>
      </c>
      <c r="D949" t="s">
        <v>2728</v>
      </c>
      <c r="E949" t="s">
        <v>3117</v>
      </c>
      <c r="F949" t="s">
        <v>3130</v>
      </c>
      <c r="G949" s="2" t="s">
        <v>4079</v>
      </c>
      <c r="H949">
        <v>6.79E-05</v>
      </c>
      <c r="I949">
        <v>6.439999999999999E-05</v>
      </c>
      <c r="J949">
        <v>0.0001323</v>
      </c>
    </row>
    <row r="950" spans="1:10">
      <c r="A950">
        <f>HYPERLINK("https://mega.nz/file/aV0yTRzL#YP82GVTPIDTSGCIPIg6pP32QlNMPTxp5UhceKvygtOg", "The Basics of Magick")</f>
        <v>0</v>
      </c>
      <c r="B950" t="s">
        <v>242</v>
      </c>
      <c r="C950" t="s">
        <v>1411</v>
      </c>
      <c r="D950" t="s">
        <v>2729</v>
      </c>
      <c r="E950" t="s">
        <v>3117</v>
      </c>
      <c r="F950" t="s">
        <v>3131</v>
      </c>
      <c r="G950" s="2" t="s">
        <v>4080</v>
      </c>
      <c r="H950">
        <v>6.055E-05</v>
      </c>
      <c r="I950">
        <v>5.495E-05</v>
      </c>
      <c r="J950">
        <v>0.0001155</v>
      </c>
    </row>
    <row r="951" spans="1:10">
      <c r="A951">
        <f>HYPERLINK("https://mega.nz/file/eAsjhYyZ#_TTQUZzcJ3JvqtgprkZXmuGBY818hHEgj8Uc-VZhtwg", "El evangelio segun el espiritismo")</f>
        <v>0</v>
      </c>
      <c r="B951" t="s">
        <v>243</v>
      </c>
      <c r="C951" t="s">
        <v>1412</v>
      </c>
      <c r="D951" t="s">
        <v>2730</v>
      </c>
      <c r="E951" t="s">
        <v>3117</v>
      </c>
      <c r="F951" t="s">
        <v>3130</v>
      </c>
      <c r="G951" s="2" t="s">
        <v>4081</v>
      </c>
      <c r="H951">
        <v>6.475E-05</v>
      </c>
      <c r="I951">
        <v>5.915E-05</v>
      </c>
      <c r="J951">
        <v>0.0001239</v>
      </c>
    </row>
    <row r="952" spans="1:10">
      <c r="A952">
        <f>HYPERLINK("https://mega.nz/file/PIlByagZ#9XjbzZvLx-J3930mUGVmRRd1CYlb2Fq2TRXQum-Nwtk", "El libro de los mediums")</f>
        <v>0</v>
      </c>
      <c r="B952" t="s">
        <v>243</v>
      </c>
      <c r="C952" t="s">
        <v>1413</v>
      </c>
      <c r="D952" t="s">
        <v>2731</v>
      </c>
      <c r="E952" t="s">
        <v>3117</v>
      </c>
      <c r="F952" t="s">
        <v>3130</v>
      </c>
      <c r="G952" s="2" t="s">
        <v>4082</v>
      </c>
      <c r="H952">
        <v>6.160000000000001E-05</v>
      </c>
      <c r="I952">
        <v>5.74E-05</v>
      </c>
      <c r="J952">
        <v>0.000119</v>
      </c>
    </row>
    <row r="953" spans="1:10">
      <c r="A953">
        <f>HYPERLINK("https://mega.nz/file/nZU1zQyZ#bBFapfH8026_-VVbIyYs6PQ6xEnl8D2YH6jY653VyK4", "Cosmic Consciousness Course")</f>
        <v>0</v>
      </c>
      <c r="B953" t="s">
        <v>244</v>
      </c>
      <c r="C953" t="s">
        <v>1414</v>
      </c>
      <c r="D953" t="s">
        <v>2732</v>
      </c>
      <c r="E953" t="s">
        <v>3117</v>
      </c>
      <c r="F953" t="s">
        <v>3131</v>
      </c>
      <c r="G953" s="2" t="s">
        <v>4083</v>
      </c>
      <c r="H953">
        <v>6.02E-05</v>
      </c>
      <c r="I953">
        <v>5.635E-05</v>
      </c>
      <c r="J953">
        <v>0.00011655</v>
      </c>
    </row>
    <row r="954" spans="1:10">
      <c r="A954">
        <f>HYPERLINK("https://mega.nz/file/CcNlVDyA#ukios460G-jyGenCrtLM-BNg6xuJHvm281fkck94yEs", "The study of solomonac Magick")</f>
        <v>0</v>
      </c>
      <c r="B954" t="s">
        <v>245</v>
      </c>
      <c r="C954" t="s">
        <v>1415</v>
      </c>
      <c r="D954" t="s">
        <v>2733</v>
      </c>
      <c r="E954" t="s">
        <v>3117</v>
      </c>
      <c r="F954" t="s">
        <v>3131</v>
      </c>
      <c r="G954" s="2" t="s">
        <v>4084</v>
      </c>
      <c r="H954">
        <v>6.475E-05</v>
      </c>
      <c r="I954">
        <v>5.355E-05</v>
      </c>
      <c r="J954">
        <v>0.0001183</v>
      </c>
    </row>
    <row r="955" spans="1:10">
      <c r="A955">
        <f>HYPERLINK("https://mega.nz/file/PIlV1SgI#P5YtT34fO1hVkeTYLJ-YyuBOGFcEOAD171FWOIpynAU", "Grades in Occult Societies")</f>
        <v>0</v>
      </c>
      <c r="B955" t="s">
        <v>246</v>
      </c>
      <c r="C955" t="s">
        <v>1416</v>
      </c>
      <c r="D955" t="s">
        <v>2734</v>
      </c>
      <c r="E955" t="s">
        <v>3117</v>
      </c>
      <c r="F955" t="s">
        <v>3131</v>
      </c>
      <c r="G955" s="2" t="s">
        <v>4085</v>
      </c>
      <c r="H955">
        <v>6.23E-05</v>
      </c>
      <c r="I955">
        <v>4.515E-05</v>
      </c>
      <c r="J955">
        <v>0.00010745</v>
      </c>
    </row>
    <row r="956" spans="1:10">
      <c r="A956">
        <f>HYPERLINK("https://mega.nz/file/jck00ZSI#pu0p7FufMLueBZkXSvXvKF0qnxKtt04XP6va5Azraes", "How is a secret society constructed")</f>
        <v>0</v>
      </c>
      <c r="B956" t="s">
        <v>246</v>
      </c>
      <c r="C956" t="s">
        <v>1417</v>
      </c>
      <c r="D956" t="s">
        <v>2735</v>
      </c>
      <c r="E956" t="s">
        <v>3117</v>
      </c>
      <c r="F956" t="s">
        <v>3131</v>
      </c>
      <c r="G956" s="2" t="s">
        <v>4086</v>
      </c>
      <c r="H956">
        <v>6.265E-05</v>
      </c>
      <c r="I956">
        <v>5.845E-05</v>
      </c>
      <c r="J956">
        <v>0.0001211</v>
      </c>
    </row>
    <row r="957" spans="1:10">
      <c r="A957">
        <f>HYPERLINK("https://mega.nz/file/mIEhFS6L#6tNw5OGWRQaY12Ji5-VKdSbO_gb448Kz6bC2tjg0lrU", "El libro de las brujas")</f>
        <v>0</v>
      </c>
      <c r="B957" t="s">
        <v>247</v>
      </c>
      <c r="C957" t="s">
        <v>1418</v>
      </c>
      <c r="D957" t="s">
        <v>2736</v>
      </c>
      <c r="E957" t="s">
        <v>3123</v>
      </c>
      <c r="F957" t="s">
        <v>3130</v>
      </c>
      <c r="G957" s="2" t="s">
        <v>4087</v>
      </c>
      <c r="H957">
        <v>6.265E-05</v>
      </c>
      <c r="I957">
        <v>5.635E-05</v>
      </c>
      <c r="J957">
        <v>0.000119</v>
      </c>
    </row>
    <row r="958" spans="1:10">
      <c r="A958">
        <f>HYPERLINK("https://mega.nz/file/jEtSjBCJ#jOr5Yi0ksAK6VFqQO95SSLzQKuB18THYbmZUz6ktbmA", "Mind Control, World Control - The Encyclopedia of Mind Control")</f>
        <v>0</v>
      </c>
      <c r="B958" t="s">
        <v>248</v>
      </c>
      <c r="C958" t="s">
        <v>1419</v>
      </c>
      <c r="D958" t="s">
        <v>2737</v>
      </c>
      <c r="E958" t="s">
        <v>3117</v>
      </c>
      <c r="F958" t="s">
        <v>3131</v>
      </c>
      <c r="G958" s="2" t="s">
        <v>4088</v>
      </c>
      <c r="H958">
        <v>6.65E-05</v>
      </c>
      <c r="I958">
        <v>5.075E-05</v>
      </c>
      <c r="J958">
        <v>0.00011725</v>
      </c>
    </row>
    <row r="959" spans="1:10">
      <c r="A959">
        <f>HYPERLINK("https://mega.nz/file/iMs3WQLQ#AsnXJaZxr4Ww-NNYPqM9jq5bB_gHqj5-68qnKWRjuSI", "Psicoterapia y Espiritualidad")</f>
        <v>0</v>
      </c>
      <c r="B959" t="s">
        <v>249</v>
      </c>
      <c r="C959" t="s">
        <v>1420</v>
      </c>
      <c r="D959" t="s">
        <v>2738</v>
      </c>
      <c r="E959" t="s">
        <v>3117</v>
      </c>
      <c r="F959" t="s">
        <v>3130</v>
      </c>
      <c r="G959" s="2" t="s">
        <v>4089</v>
      </c>
      <c r="H959">
        <v>6.160000000000001E-05</v>
      </c>
      <c r="I959">
        <v>5.18E-05</v>
      </c>
      <c r="J959">
        <v>0.0001134</v>
      </c>
    </row>
    <row r="960" spans="1:10">
      <c r="A960">
        <f>HYPERLINK("https://mega.nz/file/WUUSxJ5I#D0STnkO_tTa1XWmitV9XPxevFIJSYZ1ecgC4vE2enok", "Y Que Si Jesus No Hubiera Nacido")</f>
        <v>0</v>
      </c>
      <c r="B960" t="s">
        <v>250</v>
      </c>
      <c r="C960" t="s">
        <v>1421</v>
      </c>
      <c r="D960" t="s">
        <v>2739</v>
      </c>
      <c r="E960" t="s">
        <v>3117</v>
      </c>
      <c r="F960" t="s">
        <v>3130</v>
      </c>
      <c r="G960" s="2" t="s">
        <v>4090</v>
      </c>
      <c r="H960">
        <v>6.37E-05</v>
      </c>
      <c r="I960">
        <v>5.67E-05</v>
      </c>
      <c r="J960">
        <v>0.0001204</v>
      </c>
    </row>
    <row r="961" spans="1:10">
      <c r="A961">
        <f>HYPERLINK("https://mega.nz/file/LNEwBTrA#-JRm7D603EqUU5meCkmkXrO9B-wbohcDpXl0bANfWQM", "Against The Light")</f>
        <v>0</v>
      </c>
      <c r="B961" t="s">
        <v>251</v>
      </c>
      <c r="C961" t="s">
        <v>1422</v>
      </c>
      <c r="D961" t="s">
        <v>2740</v>
      </c>
      <c r="E961" t="s">
        <v>3117</v>
      </c>
      <c r="F961" t="s">
        <v>3131</v>
      </c>
      <c r="G961" s="2" t="s">
        <v>4091</v>
      </c>
      <c r="H961">
        <v>5.74E-05</v>
      </c>
      <c r="I961">
        <v>5.67E-05</v>
      </c>
      <c r="J961">
        <v>0.0001141</v>
      </c>
    </row>
    <row r="962" spans="1:10">
      <c r="A962">
        <f>HYPERLINK("https://mega.nz/file/DR0gGLZC#Ku79TJqADVSzlhZtInx1BK3HFm7Ys8OceNoVxZ_xycw", "Beyond The Mauve Zone")</f>
        <v>0</v>
      </c>
      <c r="B962" t="s">
        <v>251</v>
      </c>
      <c r="C962" t="s">
        <v>1423</v>
      </c>
      <c r="D962" t="s">
        <v>2741</v>
      </c>
      <c r="E962" t="s">
        <v>3117</v>
      </c>
      <c r="F962" t="s">
        <v>3131</v>
      </c>
      <c r="G962" s="2" t="s">
        <v>4092</v>
      </c>
      <c r="H962">
        <v>5.95E-05</v>
      </c>
      <c r="I962">
        <v>4.76E-05</v>
      </c>
      <c r="J962">
        <v>0.0001071</v>
      </c>
    </row>
    <row r="963" spans="1:10">
      <c r="A963">
        <f>HYPERLINK("https://mega.nz/file/CJtHBAIZ#NrLtOHK37jeD2XZj6C3A-YgvQJHqjcYaUINFhmZKNgE", "Cults Of The Shadow")</f>
        <v>0</v>
      </c>
      <c r="B963" t="s">
        <v>251</v>
      </c>
      <c r="C963" t="s">
        <v>1424</v>
      </c>
      <c r="D963" t="s">
        <v>2742</v>
      </c>
      <c r="E963" t="s">
        <v>3117</v>
      </c>
      <c r="F963" t="s">
        <v>3131</v>
      </c>
      <c r="G963" s="2" t="s">
        <v>4093</v>
      </c>
      <c r="H963">
        <v>5.95E-05</v>
      </c>
      <c r="I963">
        <v>5.6E-05</v>
      </c>
      <c r="J963">
        <v>0.0001155</v>
      </c>
    </row>
    <row r="964" spans="1:10">
      <c r="A964">
        <f>HYPERLINK("https://mega.nz/file/bMdTnbpJ#AaJ9FDn7clZBe7tQkXVnxL-Y60Xd5MstkZdGEki9kXo", "Gamaliel The Diary Of A Vampire")</f>
        <v>0</v>
      </c>
      <c r="B964" t="s">
        <v>251</v>
      </c>
      <c r="C964" t="s">
        <v>1425</v>
      </c>
      <c r="D964" t="s">
        <v>2743</v>
      </c>
      <c r="E964" t="s">
        <v>3117</v>
      </c>
      <c r="F964" t="s">
        <v>3131</v>
      </c>
      <c r="G964" s="2" t="s">
        <v>4094</v>
      </c>
      <c r="H964">
        <v>6.265E-05</v>
      </c>
      <c r="I964">
        <v>6.195E-05</v>
      </c>
      <c r="J964">
        <v>0.0001246</v>
      </c>
    </row>
    <row r="965" spans="1:10">
      <c r="A965">
        <f>HYPERLINK("https://mega.nz/file/WVknnDbB#fdjKeGPRjWsuUajAtUkXC-CLY9kpHahyJZDIOHU8bnc", "Hecates Fountain")</f>
        <v>0</v>
      </c>
      <c r="B965" t="s">
        <v>251</v>
      </c>
      <c r="C965" t="s">
        <v>1426</v>
      </c>
      <c r="D965" t="s">
        <v>2744</v>
      </c>
      <c r="E965" t="s">
        <v>3117</v>
      </c>
      <c r="F965" t="s">
        <v>3131</v>
      </c>
      <c r="G965" s="2" t="s">
        <v>4095</v>
      </c>
      <c r="H965">
        <v>5.845E-05</v>
      </c>
      <c r="I965">
        <v>5.635E-05</v>
      </c>
      <c r="J965">
        <v>0.0001148</v>
      </c>
    </row>
    <row r="966" spans="1:10">
      <c r="A966">
        <f>HYPERLINK("https://mega.nz/file/LA922IxR#ZVoQq-MNauykzOKyDA0dM4ZMJo_gxtWp1wkWJZVW4-Y", "Hidden Lore")</f>
        <v>0</v>
      </c>
      <c r="B966" t="s">
        <v>251</v>
      </c>
      <c r="C966" t="s">
        <v>1427</v>
      </c>
      <c r="D966" t="s">
        <v>2745</v>
      </c>
      <c r="E966" t="s">
        <v>3117</v>
      </c>
      <c r="F966" t="s">
        <v>3131</v>
      </c>
      <c r="G966" s="2" t="s">
        <v>4096</v>
      </c>
      <c r="H966">
        <v>5.635E-05</v>
      </c>
      <c r="I966">
        <v>5.075E-05</v>
      </c>
      <c r="J966">
        <v>0.0001071</v>
      </c>
    </row>
    <row r="967" spans="1:10">
      <c r="A967">
        <f>HYPERLINK("https://mega.nz/file/WBsAkSyZ#-tJtR7pMD7b__dg8D2xmkb81uD9PtI396HgcWVHZBgw", "Magical Revival")</f>
        <v>0</v>
      </c>
      <c r="B967" t="s">
        <v>251</v>
      </c>
      <c r="C967" t="s">
        <v>1310</v>
      </c>
      <c r="D967" t="s">
        <v>2746</v>
      </c>
      <c r="E967" t="s">
        <v>3117</v>
      </c>
      <c r="F967" t="s">
        <v>3131</v>
      </c>
      <c r="G967" s="2" t="s">
        <v>4097</v>
      </c>
      <c r="H967">
        <v>5.705E-05</v>
      </c>
      <c r="I967">
        <v>5.18E-05</v>
      </c>
      <c r="J967">
        <v>0.00010885</v>
      </c>
    </row>
    <row r="968" spans="1:10">
      <c r="A968">
        <f>HYPERLINK("https://mega.nz/file/XV9GWK5A#vqqRHKUBo89lIOETNKthH_F5QcW_NuaGVkKwGmCRrMU", "Nightside Of Eden")</f>
        <v>0</v>
      </c>
      <c r="B968" t="s">
        <v>251</v>
      </c>
      <c r="C968" t="s">
        <v>1428</v>
      </c>
      <c r="D968" t="s">
        <v>2747</v>
      </c>
      <c r="E968" t="s">
        <v>3117</v>
      </c>
      <c r="F968" t="s">
        <v>3131</v>
      </c>
      <c r="G968" s="2" t="s">
        <v>4098</v>
      </c>
      <c r="H968">
        <v>5.845E-05</v>
      </c>
      <c r="I968">
        <v>5.705E-05</v>
      </c>
      <c r="J968">
        <v>0.0001155</v>
      </c>
    </row>
    <row r="969" spans="1:10">
      <c r="A969">
        <f>HYPERLINK("https://mega.nz/file/jRdAWB6L#adxYxWYbwtBcEkhPXe0JvlHUPkf6Zf6r13nQprTTrDk", "Outer Gateways")</f>
        <v>0</v>
      </c>
      <c r="B969" t="s">
        <v>251</v>
      </c>
      <c r="C969" t="s">
        <v>1311</v>
      </c>
      <c r="D969" t="s">
        <v>2748</v>
      </c>
      <c r="E969" t="s">
        <v>3117</v>
      </c>
      <c r="F969" t="s">
        <v>3131</v>
      </c>
      <c r="G969" s="2" t="s">
        <v>4099</v>
      </c>
      <c r="H969">
        <v>5.74E-05</v>
      </c>
      <c r="I969">
        <v>5.74E-05</v>
      </c>
      <c r="J969">
        <v>0.0001148</v>
      </c>
    </row>
    <row r="970" spans="1:10">
      <c r="A970">
        <f>HYPERLINK("https://mega.nz/file/zd0SSTpI#9DxlmLQ7RlfrIgCKCB35KqJT0ack3mkreQEKv6621Xc", "Sorceries of Zos")</f>
        <v>0</v>
      </c>
      <c r="B970" t="s">
        <v>251</v>
      </c>
      <c r="C970" t="s">
        <v>1429</v>
      </c>
      <c r="D970" t="s">
        <v>2749</v>
      </c>
      <c r="E970" t="s">
        <v>3117</v>
      </c>
      <c r="F970" t="s">
        <v>3131</v>
      </c>
      <c r="G970" s="2" t="s">
        <v>4100</v>
      </c>
      <c r="H970">
        <v>6.02E-05</v>
      </c>
      <c r="I970">
        <v>6.23E-05</v>
      </c>
      <c r="J970">
        <v>0.0001225</v>
      </c>
    </row>
    <row r="971" spans="1:10">
      <c r="A971">
        <f>HYPERLINK("https://mega.nz/file/HAtiTQZR#LcceQbiFHUlIyY3g3BYr4C9w-fCMRQGQbTEpRJygmMQ", "The Ninth Arch")</f>
        <v>0</v>
      </c>
      <c r="B971" t="s">
        <v>251</v>
      </c>
      <c r="C971" t="s">
        <v>1430</v>
      </c>
      <c r="D971" t="s">
        <v>2750</v>
      </c>
      <c r="E971" t="s">
        <v>3117</v>
      </c>
      <c r="F971" t="s">
        <v>3131</v>
      </c>
      <c r="G971" s="2" t="s">
        <v>4101</v>
      </c>
      <c r="H971">
        <v>5.74E-05</v>
      </c>
      <c r="I971">
        <v>4.9E-05</v>
      </c>
      <c r="J971">
        <v>0.0001064</v>
      </c>
    </row>
    <row r="972" spans="1:10">
      <c r="A972">
        <f>HYPERLINK("https://mega.nz/file/zR1SlJbZ#jSrsG5nQGHeSrsiJCEEcLXFmZZRM-hIakD6mfzLa7YQ", "Outside The Circles Of Time")</f>
        <v>0</v>
      </c>
      <c r="B972" t="s">
        <v>252</v>
      </c>
      <c r="C972" t="s">
        <v>1431</v>
      </c>
      <c r="D972" t="s">
        <v>2751</v>
      </c>
      <c r="E972" t="s">
        <v>3117</v>
      </c>
      <c r="F972" t="s">
        <v>3131</v>
      </c>
      <c r="G972" s="2" t="s">
        <v>4102</v>
      </c>
      <c r="H972">
        <v>5.95E-05</v>
      </c>
      <c r="I972">
        <v>5.46E-05</v>
      </c>
      <c r="J972">
        <v>0.0001141</v>
      </c>
    </row>
    <row r="973" spans="1:10">
      <c r="A973">
        <f>HYPERLINK("https://mega.nz/file/CNd2QIwC#t-sg_xh9WqVmLZQhR4sJCqof44riczdtCTN_Y7GF824", "Magical Objection Mastery")</f>
        <v>0</v>
      </c>
      <c r="B973" t="s">
        <v>253</v>
      </c>
      <c r="C973" t="s">
        <v>1432</v>
      </c>
      <c r="D973" t="s">
        <v>2752</v>
      </c>
      <c r="E973" t="s">
        <v>3117</v>
      </c>
      <c r="F973" t="s">
        <v>3131</v>
      </c>
      <c r="G973" s="2" t="s">
        <v>4103</v>
      </c>
      <c r="H973">
        <v>5.95E-05</v>
      </c>
      <c r="I973">
        <v>5.39E-05</v>
      </c>
      <c r="J973">
        <v>0.0001134</v>
      </c>
    </row>
    <row r="974" spans="1:10">
      <c r="A974">
        <f>HYPERLINK("https://mega.nz/file/mU02hDgZ#As_ihqJNbRA_YMGeaA9yWR6xRljJ0pCyUYgpVV9q5w4", "Eleusis")</f>
        <v>0</v>
      </c>
      <c r="B974" t="s">
        <v>254</v>
      </c>
      <c r="C974" t="s">
        <v>1433</v>
      </c>
      <c r="D974" t="s">
        <v>2753</v>
      </c>
      <c r="E974" t="s">
        <v>3117</v>
      </c>
      <c r="F974" t="s">
        <v>3131</v>
      </c>
      <c r="G974" s="2" t="s">
        <v>4104</v>
      </c>
      <c r="H974">
        <v>5.88E-05</v>
      </c>
      <c r="I974">
        <v>5.355E-05</v>
      </c>
      <c r="J974">
        <v>0.00011235</v>
      </c>
    </row>
    <row r="975" spans="1:10">
      <c r="A975">
        <f>HYPERLINK("https://mega.nz/file/Od0mQISQ#Nu29uiycuHcBjglXSc97wmBZLGgOb5o35cEdbGS6ZG0", "Introduccion A Los Jeroglificos Mayas")</f>
        <v>0</v>
      </c>
      <c r="B975" t="s">
        <v>255</v>
      </c>
      <c r="C975" t="s">
        <v>1434</v>
      </c>
      <c r="D975" t="s">
        <v>2754</v>
      </c>
      <c r="E975" t="s">
        <v>3117</v>
      </c>
      <c r="F975" t="s">
        <v>3130</v>
      </c>
      <c r="G975" s="2" t="s">
        <v>4105</v>
      </c>
      <c r="H975">
        <v>6.79E-05</v>
      </c>
      <c r="I975">
        <v>5.88E-05</v>
      </c>
      <c r="J975">
        <v>0.0001267</v>
      </c>
    </row>
    <row r="976" spans="1:10">
      <c r="A976">
        <f>HYPERLINK("https://mega.nz/file/DMMwRYJS#FrGLtRKjRULQo6MlS0g3_XbQHfaI2DBqyRUng9ArUrw", "Natural Cures They Don't Want You To Know About")</f>
        <v>0</v>
      </c>
      <c r="B976" t="s">
        <v>256</v>
      </c>
      <c r="C976" t="s">
        <v>1435</v>
      </c>
      <c r="D976" t="s">
        <v>2755</v>
      </c>
      <c r="E976" t="s">
        <v>3117</v>
      </c>
      <c r="F976" t="s">
        <v>3131</v>
      </c>
      <c r="G976" s="2" t="s">
        <v>4106</v>
      </c>
      <c r="H976">
        <v>6.685E-05</v>
      </c>
      <c r="I976">
        <v>5.635E-05</v>
      </c>
      <c r="J976">
        <v>0.0001232</v>
      </c>
    </row>
    <row r="977" spans="1:10">
      <c r="A977">
        <f>HYPERLINK("https://mega.nz/file/2ZU3lbDa#4o0-2mkHR8d0HX1XeUKdKH7XYV4q_BsKM6KSRyxVNRo", "Los Rituales Secretos Del Oto")</f>
        <v>0</v>
      </c>
      <c r="B977" t="s">
        <v>257</v>
      </c>
      <c r="C977" t="s">
        <v>1436</v>
      </c>
      <c r="D977" t="s">
        <v>2756</v>
      </c>
      <c r="E977" t="s">
        <v>3117</v>
      </c>
      <c r="F977" t="s">
        <v>3130</v>
      </c>
      <c r="G977" s="2" t="s">
        <v>4107</v>
      </c>
      <c r="H977">
        <v>6.160000000000001E-05</v>
      </c>
      <c r="I977">
        <v>5.95E-05</v>
      </c>
      <c r="J977">
        <v>0.0001211</v>
      </c>
    </row>
    <row r="978" spans="1:10">
      <c r="A978">
        <f>HYPERLINK("https://mega.nz/file/3NEAiK4R#sK2-q9qHi4YlNaIHvpEjM44G-90hH2CeF0DebffQmO8", "The Secret Rituals O.T.O.")</f>
        <v>0</v>
      </c>
      <c r="B978" t="s">
        <v>258</v>
      </c>
      <c r="C978" t="s">
        <v>1437</v>
      </c>
      <c r="D978" t="s">
        <v>2757</v>
      </c>
      <c r="E978" t="s">
        <v>3117</v>
      </c>
      <c r="F978" t="s">
        <v>3131</v>
      </c>
      <c r="G978" s="2" t="s">
        <v>4108</v>
      </c>
      <c r="H978">
        <v>6.475E-05</v>
      </c>
      <c r="I978">
        <v>5.565E-05</v>
      </c>
      <c r="J978">
        <v>0.0001204</v>
      </c>
    </row>
    <row r="979" spans="1:10">
      <c r="A979">
        <f>HYPERLINK("https://mega.nz/file/nBtSFKqQ#rA_2v26dlMkSQ4wuT9se3ygd6z0PkRO4EAHkRwc1gpk", "The Secret Rituals O.T.O.")</f>
        <v>0</v>
      </c>
      <c r="B979" t="s">
        <v>258</v>
      </c>
      <c r="C979" t="s">
        <v>1437</v>
      </c>
      <c r="D979" t="s">
        <v>2758</v>
      </c>
      <c r="E979" t="s">
        <v>3117</v>
      </c>
      <c r="F979" t="s">
        <v>3131</v>
      </c>
      <c r="G979" s="2" t="s">
        <v>4109</v>
      </c>
      <c r="H979">
        <v>6.475E-05</v>
      </c>
      <c r="I979">
        <v>5.145E-05</v>
      </c>
      <c r="J979">
        <v>0.0001162</v>
      </c>
    </row>
    <row r="980" spans="1:10">
      <c r="A980">
        <f>HYPERLINK("https://mega.nz/file/XF9wCA4R#PMR_TMQSdg4fFkO3sev1W2DsCp1qZJnz51Y0Nu1Ltbc", "La Verdadera Blavatsky")</f>
        <v>0</v>
      </c>
      <c r="B980" t="s">
        <v>259</v>
      </c>
      <c r="C980" t="s">
        <v>1438</v>
      </c>
      <c r="D980" t="s">
        <v>2759</v>
      </c>
      <c r="E980" t="s">
        <v>3117</v>
      </c>
      <c r="F980" t="s">
        <v>3130</v>
      </c>
      <c r="G980" s="2" t="s">
        <v>4110</v>
      </c>
      <c r="H980">
        <v>6.37E-05</v>
      </c>
      <c r="I980">
        <v>6.09E-05</v>
      </c>
      <c r="J980">
        <v>0.0001246</v>
      </c>
    </row>
    <row r="981" spans="1:10">
      <c r="A981">
        <f>HYPERLINK("https://mega.nz/file/KcMm0IIJ#kjP9IQctXWJZGnQT_eAm0MZZlBRCh2eMfKA03JgQWBg", "Filosofia Antigua Misterios Y Magia")</f>
        <v>0</v>
      </c>
      <c r="B981" t="s">
        <v>260</v>
      </c>
      <c r="C981" t="s">
        <v>1439</v>
      </c>
      <c r="D981" t="s">
        <v>2760</v>
      </c>
      <c r="E981" t="s">
        <v>3117</v>
      </c>
      <c r="F981" t="s">
        <v>3130</v>
      </c>
      <c r="G981" s="2" t="s">
        <v>4111</v>
      </c>
      <c r="H981">
        <v>6.439999999999999E-05</v>
      </c>
      <c r="I981">
        <v>5.915E-05</v>
      </c>
      <c r="J981">
        <v>0.00012355</v>
      </c>
    </row>
    <row r="982" spans="1:10">
      <c r="A982">
        <f>HYPERLINK("https://mega.nz/file/6YlQDYwC#mh7mVrY2usg8DYnBzMQ9nfsaIxdnnCwKEVe9bdRJBGc", "Artículo")</f>
        <v>0</v>
      </c>
      <c r="B982" t="s">
        <v>261</v>
      </c>
      <c r="C982" t="s">
        <v>1440</v>
      </c>
      <c r="D982" t="s">
        <v>2761</v>
      </c>
      <c r="E982" t="s">
        <v>3117</v>
      </c>
      <c r="F982" t="s">
        <v>3131</v>
      </c>
      <c r="G982" s="2" t="s">
        <v>4112</v>
      </c>
      <c r="H982">
        <v>5.53E-05</v>
      </c>
      <c r="I982">
        <v>5.04E-05</v>
      </c>
      <c r="J982">
        <v>0.0001057</v>
      </c>
    </row>
    <row r="983" spans="1:10">
      <c r="A983">
        <f>HYPERLINK("https://mega.nz/file/uZVRxaaK#F7QEW_f5q9LoSYIZTxvzDLAfKV_nyK9r5IhA37VC11Q", "Ejercicios y Practicas Ocultas")</f>
        <v>0</v>
      </c>
      <c r="B983" t="s">
        <v>262</v>
      </c>
      <c r="C983" t="s">
        <v>1441</v>
      </c>
      <c r="D983" t="s">
        <v>2762</v>
      </c>
      <c r="E983" t="s">
        <v>3117</v>
      </c>
      <c r="F983" t="s">
        <v>3130</v>
      </c>
      <c r="G983" s="2" t="s">
        <v>4113</v>
      </c>
      <c r="H983">
        <v>6.475E-05</v>
      </c>
      <c r="I983">
        <v>5.915E-05</v>
      </c>
      <c r="J983">
        <v>0.0001239</v>
      </c>
    </row>
    <row r="984" spans="1:10">
      <c r="A984">
        <f>HYPERLINK("https://mega.nz/file/OR1HnSAQ#PB5saoOj9epQLM-_-EuJTkEyrCuWXH5_X_6vOfZPJZ4", "Magick in the virtual world")</f>
        <v>0</v>
      </c>
      <c r="B984" t="s">
        <v>263</v>
      </c>
      <c r="C984" t="s">
        <v>1442</v>
      </c>
      <c r="D984" t="s">
        <v>2763</v>
      </c>
      <c r="E984" t="s">
        <v>3117</v>
      </c>
      <c r="F984" t="s">
        <v>3131</v>
      </c>
      <c r="G984" s="2" t="s">
        <v>4114</v>
      </c>
      <c r="H984">
        <v>6.37E-05</v>
      </c>
      <c r="I984">
        <v>5.67E-05</v>
      </c>
      <c r="J984">
        <v>0.0001204</v>
      </c>
    </row>
    <row r="985" spans="1:10">
      <c r="A985">
        <f>HYPERLINK("https://mega.nz/file/bcEQFIzD#nJZC86QK-FHQ1_hLWk6JvJnMg3NkKDR_eOUM9xsI5dE", "Thule Expedition")</f>
        <v>0</v>
      </c>
      <c r="B985" t="s">
        <v>264</v>
      </c>
      <c r="C985" t="s">
        <v>1443</v>
      </c>
      <c r="D985" t="s">
        <v>2764</v>
      </c>
      <c r="E985" t="s">
        <v>3117</v>
      </c>
      <c r="F985" t="s">
        <v>3131</v>
      </c>
      <c r="G985" s="2" t="s">
        <v>4115</v>
      </c>
      <c r="H985">
        <v>6.02E-05</v>
      </c>
      <c r="I985">
        <v>5.355E-05</v>
      </c>
      <c r="J985">
        <v>0.00011375</v>
      </c>
    </row>
    <row r="986" spans="1:10">
      <c r="A986">
        <f>HYPERLINK("https://mega.nz/file/yV9SwZaL#ERRGsyV6CB-R02vl5dXZ0YNO2CFoLd4H4z9KymPaBpg", "Ordo Templi Orientis")</f>
        <v>0</v>
      </c>
      <c r="B986" t="s">
        <v>265</v>
      </c>
      <c r="C986" t="s">
        <v>1444</v>
      </c>
      <c r="D986" t="s">
        <v>2765</v>
      </c>
      <c r="E986" t="s">
        <v>3117</v>
      </c>
      <c r="F986" t="s">
        <v>3131</v>
      </c>
      <c r="G986" s="2" t="s">
        <v>4116</v>
      </c>
      <c r="H986">
        <v>6.055E-05</v>
      </c>
      <c r="I986">
        <v>5.915E-05</v>
      </c>
      <c r="J986">
        <v>0.0001197</v>
      </c>
    </row>
    <row r="987" spans="1:10">
      <c r="A987">
        <f>HYPERLINK("https://mega.nz/file/mM1lBKwC#AisQCgTYm5OzuMYWq05REbfhDcMjIvIUqN7lnceHXDw", "Cristo y las Religiones de la Tierra 2 3 Religiones de los Pueblos y de las Culturas")</f>
        <v>0</v>
      </c>
      <c r="B987" t="s">
        <v>266</v>
      </c>
      <c r="C987" t="s">
        <v>1445</v>
      </c>
      <c r="D987" t="s">
        <v>2766</v>
      </c>
      <c r="E987" t="s">
        <v>3117</v>
      </c>
      <c r="F987" t="s">
        <v>3130</v>
      </c>
      <c r="G987" s="2" t="s">
        <v>4117</v>
      </c>
      <c r="H987">
        <v>8.715E-05</v>
      </c>
      <c r="I987">
        <v>6.23E-05</v>
      </c>
      <c r="J987">
        <v>0.00014945</v>
      </c>
    </row>
    <row r="988" spans="1:10">
      <c r="A988">
        <f>HYPERLINK("https://mega.nz/file/PFVXQRpL#ISTSVxZ_zohXLVQQ_yjew83ugfpmqpSmGo0GI0FdLDE", "Esencia de las Ensenanzas")</f>
        <v>0</v>
      </c>
      <c r="B988" t="s">
        <v>267</v>
      </c>
      <c r="C988" t="s">
        <v>1446</v>
      </c>
      <c r="D988" t="s">
        <v>2767</v>
      </c>
      <c r="E988" t="s">
        <v>3117</v>
      </c>
      <c r="F988" t="s">
        <v>3130</v>
      </c>
      <c r="G988" s="2" t="s">
        <v>4118</v>
      </c>
      <c r="H988">
        <v>6.895E-05</v>
      </c>
      <c r="I988">
        <v>5.915E-05</v>
      </c>
      <c r="J988">
        <v>0.0001281</v>
      </c>
    </row>
    <row r="989" spans="1:10">
      <c r="A989">
        <f>HYPERLINK("https://mega.nz/file/PU0xVYrY#IoHUYCCmTE3EPPmhHUi8Sw4VJpSJ-fAoSRnsHXO1bHw", "Escape De La Caldera")</f>
        <v>0</v>
      </c>
      <c r="B989" t="s">
        <v>268</v>
      </c>
      <c r="C989" t="s">
        <v>1447</v>
      </c>
      <c r="D989" t="s">
        <v>2768</v>
      </c>
      <c r="E989" t="s">
        <v>3117</v>
      </c>
      <c r="F989" t="s">
        <v>3130</v>
      </c>
      <c r="G989" s="2" t="s">
        <v>4119</v>
      </c>
      <c r="H989">
        <v>6.37E-05</v>
      </c>
      <c r="I989">
        <v>5.11E-05</v>
      </c>
      <c r="J989">
        <v>0.0001148</v>
      </c>
    </row>
    <row r="990" spans="1:10">
      <c r="A990">
        <f>HYPERLINK("https://mega.nz/file/zUcABYCQ#vnTaGXiw4x0DNbwhNS1Jt46lvsX2oTxTfSjPhZlT0Fc", "Curso Rúnico")</f>
        <v>0</v>
      </c>
      <c r="B990" t="s">
        <v>269</v>
      </c>
      <c r="C990" t="s">
        <v>1448</v>
      </c>
      <c r="D990" t="s">
        <v>2769</v>
      </c>
      <c r="E990" t="s">
        <v>3117</v>
      </c>
      <c r="F990" t="s">
        <v>3131</v>
      </c>
      <c r="G990" s="2" t="s">
        <v>4120</v>
      </c>
      <c r="H990">
        <v>5.425E-05</v>
      </c>
      <c r="I990">
        <v>5.04E-05</v>
      </c>
      <c r="J990">
        <v>0.00010465</v>
      </c>
    </row>
    <row r="991" spans="1:10">
      <c r="A991">
        <f>HYPERLINK("https://mega.nz/file/SI8EGYLS#PwwCae6NtPVdE0Wpcdu8WfnXiBMqXHFQWgolsSLbIw0", "runas")</f>
        <v>0</v>
      </c>
      <c r="B991" t="s">
        <v>270</v>
      </c>
      <c r="C991" t="s">
        <v>1449</v>
      </c>
      <c r="D991" t="s">
        <v>2770</v>
      </c>
      <c r="E991" t="s">
        <v>3124</v>
      </c>
      <c r="F991" t="s">
        <v>3131</v>
      </c>
      <c r="G991" s="2" t="s">
        <v>4121</v>
      </c>
      <c r="H991">
        <v>5.95E-05</v>
      </c>
      <c r="I991">
        <v>5.32E-05</v>
      </c>
      <c r="J991">
        <v>0.0001127</v>
      </c>
    </row>
    <row r="992" spans="1:10">
      <c r="A992">
        <f>HYPERLINK("https://mega.nz/file/nBchHbjb#GpRrMg96iP2O0uMFH8ngojwK2gmf28s62yz8EUCZi2o", "El Primate Elegido")</f>
        <v>0</v>
      </c>
      <c r="B992" t="s">
        <v>271</v>
      </c>
      <c r="C992" t="s">
        <v>1450</v>
      </c>
      <c r="D992" t="s">
        <v>2771</v>
      </c>
      <c r="E992" t="s">
        <v>3117</v>
      </c>
      <c r="F992" t="s">
        <v>3130</v>
      </c>
      <c r="G992" s="2" t="s">
        <v>4122</v>
      </c>
      <c r="H992">
        <v>6.055E-05</v>
      </c>
      <c r="I992">
        <v>5.565E-05</v>
      </c>
      <c r="J992">
        <v>0.0001162</v>
      </c>
    </row>
    <row r="993" spans="1:10">
      <c r="A993">
        <f>HYPERLINK("https://mega.nz/file/KBcWFD7R#OBbakop85jJOVVchxRT_f2Nf9n9qj317e98qaL9zQBw", "La Rebelion De Los Brujos")</f>
        <v>0</v>
      </c>
      <c r="B993" t="s">
        <v>272</v>
      </c>
      <c r="C993" t="s">
        <v>1451</v>
      </c>
      <c r="D993" t="s">
        <v>2772</v>
      </c>
      <c r="E993" t="s">
        <v>3117</v>
      </c>
      <c r="F993" t="s">
        <v>3130</v>
      </c>
      <c r="G993" s="2" t="s">
        <v>4123</v>
      </c>
      <c r="H993">
        <v>6.895E-05</v>
      </c>
      <c r="I993">
        <v>6.755E-05</v>
      </c>
      <c r="J993">
        <v>0.0001365</v>
      </c>
    </row>
    <row r="994" spans="1:10">
      <c r="A994">
        <f>HYPERLINK("https://mega.nz/file/fM9U2DAa#rmUKNwlXYs61CaqQ1zm22RYUSRkPi4Eo0Yfol8C-eys", "Beyond the Five Senses")</f>
        <v>0</v>
      </c>
      <c r="B994" t="s">
        <v>273</v>
      </c>
      <c r="C994" t="s">
        <v>1452</v>
      </c>
      <c r="D994" t="s">
        <v>2773</v>
      </c>
      <c r="E994" t="s">
        <v>3117</v>
      </c>
      <c r="F994" t="s">
        <v>3131</v>
      </c>
      <c r="G994" s="2" t="s">
        <v>4124</v>
      </c>
      <c r="H994">
        <v>6.37E-05</v>
      </c>
      <c r="I994">
        <v>5.67E-05</v>
      </c>
      <c r="J994">
        <v>0.0001204</v>
      </c>
    </row>
    <row r="995" spans="1:10">
      <c r="A995">
        <f>HYPERLINK("https://mega.nz/file/fJ11TBII#ZUlowzYdG7xZ3CVHoruU6v6ZP8G8KCNEp1m1WsRrJGo", "Clavículas de Salomón")</f>
        <v>0</v>
      </c>
      <c r="B995" t="s">
        <v>274</v>
      </c>
      <c r="C995" t="s">
        <v>1453</v>
      </c>
      <c r="D995" t="s">
        <v>2774</v>
      </c>
      <c r="E995" t="s">
        <v>3117</v>
      </c>
      <c r="F995" t="s">
        <v>3130</v>
      </c>
      <c r="G995" s="2" t="s">
        <v>4125</v>
      </c>
      <c r="H995">
        <v>6.3E-05</v>
      </c>
      <c r="I995">
        <v>6.334999999999999E-05</v>
      </c>
      <c r="J995">
        <v>0.00012635</v>
      </c>
    </row>
    <row r="996" spans="1:10">
      <c r="A996">
        <f>HYPERLINK("https://mega.nz/file/7ENw0QKA#dPPTOIMOqNAqcrFp4WKp7jVur7FNgOg0bjDa7tO8JXU", "La Masoneria Revelada Manual Del Apendiz")</f>
        <v>0</v>
      </c>
      <c r="B996" t="s">
        <v>275</v>
      </c>
      <c r="C996" t="s">
        <v>1454</v>
      </c>
      <c r="D996" t="s">
        <v>2775</v>
      </c>
      <c r="E996" t="s">
        <v>3120</v>
      </c>
      <c r="F996" t="s">
        <v>3130</v>
      </c>
      <c r="G996" s="2" t="s">
        <v>4126</v>
      </c>
      <c r="H996">
        <v>6.685E-05</v>
      </c>
      <c r="I996">
        <v>4.935E-05</v>
      </c>
      <c r="J996">
        <v>0.0001162</v>
      </c>
    </row>
    <row r="997" spans="1:10">
      <c r="A997">
        <f>HYPERLINK("https://mega.nz/file/mQV10RwA#y_xB6AjsZO5NInoDVckaqHHQkJABNnF9bgdFiz-8yVc", "Arqueologia De Los Misterios Sagrados")</f>
        <v>0</v>
      </c>
      <c r="B997" t="s">
        <v>276</v>
      </c>
      <c r="C997" t="s">
        <v>1455</v>
      </c>
      <c r="D997" t="s">
        <v>2776</v>
      </c>
      <c r="E997" t="s">
        <v>3117</v>
      </c>
      <c r="F997" t="s">
        <v>3130</v>
      </c>
      <c r="G997" s="2" t="s">
        <v>4127</v>
      </c>
      <c r="H997">
        <v>6.685E-05</v>
      </c>
      <c r="I997">
        <v>5.705E-05</v>
      </c>
      <c r="J997">
        <v>0.0001239</v>
      </c>
    </row>
    <row r="998" spans="1:10">
      <c r="A998">
        <f>HYPERLINK("https://mega.nz/file/CIVFRIjS#Od26zuJgQVSl-DQ4AicNYdyewDGg9rID0YXw-cx1KQ4", "El Ultimo Protocolo")</f>
        <v>0</v>
      </c>
      <c r="B998" t="s">
        <v>277</v>
      </c>
      <c r="C998" t="s">
        <v>1456</v>
      </c>
      <c r="D998" t="s">
        <v>2777</v>
      </c>
      <c r="E998" t="s">
        <v>3117</v>
      </c>
      <c r="F998" t="s">
        <v>3130</v>
      </c>
      <c r="G998" s="2" t="s">
        <v>4128</v>
      </c>
      <c r="H998">
        <v>6.160000000000001E-05</v>
      </c>
      <c r="I998">
        <v>5.635E-05</v>
      </c>
      <c r="J998">
        <v>0.00011795</v>
      </c>
    </row>
    <row r="999" spans="1:10">
      <c r="A999">
        <f>HYPERLINK("https://mega.nz/file/HAtgAbDD#z4jzB_seMGe6EoMqgRUxAhwfZquYrUdY755gVJVa7wA", "Codice Atlantico")</f>
        <v>0</v>
      </c>
      <c r="B999" t="s">
        <v>278</v>
      </c>
      <c r="C999" t="s">
        <v>1457</v>
      </c>
      <c r="D999" t="s">
        <v>2778</v>
      </c>
      <c r="E999" t="s">
        <v>3117</v>
      </c>
      <c r="F999" t="s">
        <v>3131</v>
      </c>
      <c r="G999" s="2" t="s">
        <v>4129</v>
      </c>
      <c r="H999">
        <v>6.160000000000001E-05</v>
      </c>
      <c r="I999">
        <v>5.985E-05</v>
      </c>
      <c r="J999">
        <v>0.00012145</v>
      </c>
    </row>
    <row r="1000" spans="1:10">
      <c r="A1000">
        <f>HYPERLINK("https://mega.nz/file/WUEWVR6R#1StVScFh5wPQ93WBpYhKpWALYcJAr1g5W0cxBe5xW80", "Elements Of The Qabalah")</f>
        <v>0</v>
      </c>
      <c r="B1000" t="s">
        <v>279</v>
      </c>
      <c r="C1000" t="s">
        <v>1458</v>
      </c>
      <c r="D1000" t="s">
        <v>2779</v>
      </c>
      <c r="E1000" t="s">
        <v>3118</v>
      </c>
      <c r="F1000" t="s">
        <v>3131</v>
      </c>
      <c r="G1000" s="2" t="s">
        <v>4130</v>
      </c>
      <c r="H1000">
        <v>6.055E-05</v>
      </c>
      <c r="I1000">
        <v>6.125E-05</v>
      </c>
      <c r="J1000">
        <v>0.0001218</v>
      </c>
    </row>
    <row r="1001" spans="1:10">
      <c r="A1001">
        <f>HYPERLINK("https://mega.nz/file/LdUgHDqC#RG9RSv18ny37a3Jp4gwbW4qK5Au2Oh9vbSyB9Ain2mQ", "Geschichte Der Magie")</f>
        <v>0</v>
      </c>
      <c r="B1001" t="s">
        <v>279</v>
      </c>
      <c r="C1001" t="s">
        <v>1459</v>
      </c>
      <c r="D1001" t="s">
        <v>2780</v>
      </c>
      <c r="E1001" t="s">
        <v>3117</v>
      </c>
      <c r="F1001" t="s">
        <v>3131</v>
      </c>
      <c r="G1001" s="2" t="s">
        <v>4131</v>
      </c>
      <c r="H1001">
        <v>5.845E-05</v>
      </c>
      <c r="I1001">
        <v>5.635E-05</v>
      </c>
      <c r="J1001">
        <v>0.0001148</v>
      </c>
    </row>
    <row r="1002" spans="1:10">
      <c r="A1002">
        <f>HYPERLINK("https://mega.nz/file/mMNjUSLa#i3eAIgU_mndM3hVMTEbReTiJAxNdBQahICchrZUS8a4", "Key To The Mysteries")</f>
        <v>0</v>
      </c>
      <c r="B1002" t="s">
        <v>280</v>
      </c>
      <c r="C1002" t="s">
        <v>1460</v>
      </c>
      <c r="D1002" t="s">
        <v>2781</v>
      </c>
      <c r="E1002" t="s">
        <v>3117</v>
      </c>
      <c r="F1002" t="s">
        <v>3131</v>
      </c>
      <c r="G1002" s="2" t="s">
        <v>4132</v>
      </c>
      <c r="H1002">
        <v>5.74E-05</v>
      </c>
      <c r="I1002">
        <v>4.97E-05</v>
      </c>
      <c r="J1002">
        <v>0.0001071</v>
      </c>
    </row>
    <row r="1003" spans="1:10">
      <c r="A1003">
        <f>HYPERLINK("https://mega.nz/file/fYFDTSKZ#cUO8c9gmEUC8Gx9TaQ_1toFluVOFkDCpghKUomPvzOA", "The Magical Ritual Of The Sanctum Regnum")</f>
        <v>0</v>
      </c>
      <c r="B1003" t="s">
        <v>280</v>
      </c>
      <c r="C1003" t="s">
        <v>1461</v>
      </c>
      <c r="D1003" t="s">
        <v>2782</v>
      </c>
      <c r="E1003" t="s">
        <v>3117</v>
      </c>
      <c r="F1003" t="s">
        <v>3131</v>
      </c>
      <c r="G1003" s="2" t="s">
        <v>4133</v>
      </c>
      <c r="H1003">
        <v>6.265E-05</v>
      </c>
      <c r="I1003">
        <v>5.215E-05</v>
      </c>
      <c r="J1003">
        <v>0.0001148</v>
      </c>
    </row>
    <row r="1004" spans="1:10">
      <c r="A1004">
        <f>HYPERLINK("https://mega.nz/file/OBsxzYpQ#4JA8GFLe7ZgmigLExK0xtzwSnx92FM5xhyzrQVK5GwQ", "El Misterio De Los Numeros")</f>
        <v>0</v>
      </c>
      <c r="B1004" t="s">
        <v>281</v>
      </c>
      <c r="C1004" t="s">
        <v>1462</v>
      </c>
      <c r="D1004" t="s">
        <v>2783</v>
      </c>
      <c r="E1004" t="s">
        <v>3117</v>
      </c>
      <c r="F1004" t="s">
        <v>3130</v>
      </c>
      <c r="G1004" s="2" t="s">
        <v>4134</v>
      </c>
      <c r="H1004">
        <v>6.160000000000001E-05</v>
      </c>
      <c r="I1004">
        <v>6.09E-05</v>
      </c>
      <c r="J1004">
        <v>0.0001225</v>
      </c>
    </row>
    <row r="1005" spans="1:10">
      <c r="A1005">
        <f>HYPERLINK("https://mega.nz/file/CNNjiISA#fpfl1clKBAXwg_hqXaCEJN1Q7E5K80ZQC4Y_GgNKlZg", "Aradia, Gospel of the Italian Witches")</f>
        <v>0</v>
      </c>
      <c r="B1005" t="s">
        <v>282</v>
      </c>
      <c r="C1005" t="s">
        <v>1463</v>
      </c>
      <c r="D1005" t="s">
        <v>2784</v>
      </c>
      <c r="E1005" t="s">
        <v>3117</v>
      </c>
      <c r="F1005" t="s">
        <v>3131</v>
      </c>
      <c r="G1005" s="2" t="s">
        <v>4135</v>
      </c>
      <c r="H1005">
        <v>6.58E-05</v>
      </c>
      <c r="I1005">
        <v>5.81E-05</v>
      </c>
      <c r="J1005">
        <v>0.0001239</v>
      </c>
    </row>
    <row r="1006" spans="1:10">
      <c r="A1006">
        <f>HYPERLINK("https://mega.nz/file/GI8DBTzQ#2HlQSO-QVSFU3SxK62CpaFdx-svuNvtohtv67lxiitk", "Falun Fofa")</f>
        <v>0</v>
      </c>
      <c r="B1006" t="s">
        <v>283</v>
      </c>
      <c r="C1006" t="s">
        <v>1464</v>
      </c>
      <c r="D1006" t="s">
        <v>2785</v>
      </c>
      <c r="E1006" t="s">
        <v>3117</v>
      </c>
      <c r="F1006" t="s">
        <v>3131</v>
      </c>
      <c r="G1006" s="2" t="s">
        <v>4136</v>
      </c>
      <c r="H1006">
        <v>6.02E-05</v>
      </c>
      <c r="I1006">
        <v>5.25E-05</v>
      </c>
      <c r="J1006">
        <v>0.0001127</v>
      </c>
    </row>
    <row r="1007" spans="1:10">
      <c r="A1007">
        <f>HYPERLINK("https://mega.nz/file/DNt1SIpB#FLUrzAAiNwWl1sPxBFkdSHz1d7naRIa9TviJ-fdn8j4", "Invocation to Our Lady of Midnight")</f>
        <v>0</v>
      </c>
      <c r="B1007" t="s">
        <v>284</v>
      </c>
      <c r="C1007" t="s">
        <v>1465</v>
      </c>
      <c r="D1007" t="s">
        <v>2786</v>
      </c>
      <c r="E1007" t="s">
        <v>3117</v>
      </c>
      <c r="F1007" t="s">
        <v>3131</v>
      </c>
      <c r="G1007" s="2" t="s">
        <v>4137</v>
      </c>
      <c r="H1007">
        <v>6.405E-05</v>
      </c>
      <c r="I1007">
        <v>5.285E-05</v>
      </c>
      <c r="J1007">
        <v>0.0001169</v>
      </c>
    </row>
    <row r="1008" spans="1:10">
      <c r="A1008">
        <f>HYPERLINK("https://mega.nz/file/aRVjgCzA#bUEw5t_i1l-33-Tg0PZLpzYGyZjlxVEzhz4bpOmTRN4", "Como Leer los Registros Akasicos")</f>
        <v>0</v>
      </c>
      <c r="B1008" t="s">
        <v>285</v>
      </c>
      <c r="C1008" t="s">
        <v>1466</v>
      </c>
      <c r="D1008" t="s">
        <v>2787</v>
      </c>
      <c r="E1008" t="s">
        <v>3117</v>
      </c>
      <c r="F1008" t="s">
        <v>3130</v>
      </c>
      <c r="G1008" s="2" t="s">
        <v>4138</v>
      </c>
      <c r="H1008">
        <v>6.265E-05</v>
      </c>
      <c r="I1008">
        <v>5.775E-05</v>
      </c>
      <c r="J1008">
        <v>0.0001204</v>
      </c>
    </row>
    <row r="1009" spans="1:10">
      <c r="A1009">
        <f>HYPERLINK("https://mega.nz/file/XA0AxRDK#REpzrm4I_mRNUmjrG6Fs54MyTK65_P7vNwHAtlm83fU", "Eismagie")</f>
        <v>0</v>
      </c>
      <c r="B1009" t="s">
        <v>286</v>
      </c>
      <c r="C1009" t="s">
        <v>1467</v>
      </c>
      <c r="D1009" t="s">
        <v>2788</v>
      </c>
      <c r="E1009" t="s">
        <v>3117</v>
      </c>
      <c r="F1009" t="s">
        <v>3131</v>
      </c>
      <c r="G1009" s="2" t="s">
        <v>4139</v>
      </c>
      <c r="H1009">
        <v>6.51E-05</v>
      </c>
      <c r="I1009">
        <v>5.705E-05</v>
      </c>
      <c r="J1009">
        <v>0.00012215</v>
      </c>
    </row>
    <row r="1010" spans="1:10">
      <c r="A1010">
        <f>HYPERLINK("https://mega.nz/file/mBNkSDLD#UamiiC_ATokCbDq64hd_gVFbP9_LC9JbkzyK7AkhuIs", "Misterios Paganos")</f>
        <v>0</v>
      </c>
      <c r="B1010" t="s">
        <v>287</v>
      </c>
      <c r="C1010" t="s">
        <v>1468</v>
      </c>
      <c r="D1010" t="s">
        <v>2789</v>
      </c>
      <c r="E1010" t="s">
        <v>3117</v>
      </c>
      <c r="F1010" t="s">
        <v>3130</v>
      </c>
      <c r="G1010" s="2" t="s">
        <v>4140</v>
      </c>
      <c r="H1010">
        <v>6.125E-05</v>
      </c>
      <c r="I1010">
        <v>6.23E-05</v>
      </c>
      <c r="J1010">
        <v>0.00012355</v>
      </c>
    </row>
    <row r="1011" spans="1:10">
      <c r="A1011">
        <f>HYPERLINK("https://mega.nz/file/OZsCEDoA#uMvHXH8fGOq_L7o26iEvX9gPnGuYytIsJsqdwf_a93s", "Por la senda de Baphomet")</f>
        <v>0</v>
      </c>
      <c r="B1011" t="s">
        <v>288</v>
      </c>
      <c r="C1011" t="s">
        <v>1469</v>
      </c>
      <c r="D1011" t="s">
        <v>2790</v>
      </c>
      <c r="E1011" t="s">
        <v>3117</v>
      </c>
      <c r="F1011" t="s">
        <v>3130</v>
      </c>
      <c r="G1011" s="2" t="s">
        <v>4141</v>
      </c>
      <c r="H1011">
        <v>6.51E-05</v>
      </c>
      <c r="I1011">
        <v>6.65E-05</v>
      </c>
      <c r="J1011">
        <v>0.0001316</v>
      </c>
    </row>
    <row r="1012" spans="1:10">
      <c r="A1012">
        <f>HYPERLINK("https://mega.nz/file/DU03ABiB#_o1dafz73gQyas41cBrZrOZWzMv0d3p6PlLpdGaKn0Q", "El Vaticano contra Dios")</f>
        <v>0</v>
      </c>
      <c r="B1012" t="s">
        <v>289</v>
      </c>
      <c r="C1012" t="s">
        <v>1470</v>
      </c>
      <c r="D1012" t="s">
        <v>2791</v>
      </c>
      <c r="E1012" t="s">
        <v>3117</v>
      </c>
      <c r="F1012" t="s">
        <v>3130</v>
      </c>
      <c r="G1012" s="2" t="s">
        <v>4142</v>
      </c>
      <c r="H1012">
        <v>6.055E-05</v>
      </c>
      <c r="I1012">
        <v>5.075E-05</v>
      </c>
      <c r="J1012">
        <v>0.0001113</v>
      </c>
    </row>
    <row r="1013" spans="1:10">
      <c r="A1013">
        <f>HYPERLINK("https://mega.nz/file/fQNBAJLR#MYxRkl7cJNqHu-VyWfBTA9zrRem-pwo9911-pEh0Kos", "El Libro De Las Brujas")</f>
        <v>0</v>
      </c>
      <c r="B1013" t="s">
        <v>290</v>
      </c>
      <c r="C1013" t="s">
        <v>1471</v>
      </c>
      <c r="D1013" t="s">
        <v>2792</v>
      </c>
      <c r="E1013" t="s">
        <v>3123</v>
      </c>
      <c r="F1013" t="s">
        <v>3130</v>
      </c>
      <c r="G1013" s="2" t="s">
        <v>4143</v>
      </c>
      <c r="H1013">
        <v>6.02E-05</v>
      </c>
      <c r="I1013">
        <v>5.775E-05</v>
      </c>
      <c r="J1013">
        <v>0.00011795</v>
      </c>
    </row>
    <row r="1014" spans="1:10">
      <c r="A1014">
        <f>HYPERLINK("https://mega.nz/file/TJ9QAKJK#YJ8BMafeV4bgotxxDZC9Y9Pd1ETfZJm3-5Uklt16HTE", "Codex Seraphinianus")</f>
        <v>0</v>
      </c>
      <c r="B1014" t="s">
        <v>291</v>
      </c>
      <c r="C1014" t="s">
        <v>1472</v>
      </c>
      <c r="D1014" t="s">
        <v>2793</v>
      </c>
      <c r="E1014" t="s">
        <v>3117</v>
      </c>
      <c r="F1014" t="s">
        <v>3131</v>
      </c>
      <c r="G1014" s="2" t="s">
        <v>4144</v>
      </c>
      <c r="H1014">
        <v>6.37E-05</v>
      </c>
      <c r="I1014">
        <v>5.565E-05</v>
      </c>
      <c r="J1014">
        <v>0.00011935</v>
      </c>
    </row>
    <row r="1015" spans="1:10">
      <c r="A1015">
        <f>HYPERLINK("https://mega.nz/file/CdlnkDgJ#yKp1ieo7Qi2TLUuLZCux2nd1ACCSopVgCNBfmjD4eE8", "Codex Seraphinianus")</f>
        <v>0</v>
      </c>
      <c r="B1015" t="s">
        <v>291</v>
      </c>
      <c r="C1015" t="s">
        <v>1472</v>
      </c>
      <c r="D1015" t="s">
        <v>2794</v>
      </c>
      <c r="E1015" t="s">
        <v>3117</v>
      </c>
      <c r="F1015" t="s">
        <v>3131</v>
      </c>
      <c r="G1015" s="2" t="s">
        <v>4145</v>
      </c>
      <c r="H1015">
        <v>6.405E-05</v>
      </c>
      <c r="I1015">
        <v>5.775E-05</v>
      </c>
      <c r="J1015">
        <v>0.0001218</v>
      </c>
    </row>
    <row r="1016" spans="1:10">
      <c r="A1016">
        <f>HYPERLINK("https://mega.nz/file/eQk3jaQb#4_6jYgr0wCg6aMaDVkrb-PAITd1WxPGx47ueVAbx540", "Tarot")</f>
        <v>0</v>
      </c>
      <c r="B1016" t="s">
        <v>292</v>
      </c>
      <c r="C1016" t="s">
        <v>1188</v>
      </c>
      <c r="D1016" t="s">
        <v>2795</v>
      </c>
      <c r="E1016" t="s">
        <v>1188</v>
      </c>
      <c r="F1016" t="s">
        <v>3131</v>
      </c>
      <c r="G1016" s="2" t="s">
        <v>4146</v>
      </c>
      <c r="H1016">
        <v>5.81E-05</v>
      </c>
      <c r="I1016">
        <v>5.495E-05</v>
      </c>
      <c r="J1016">
        <v>0.00011305</v>
      </c>
    </row>
    <row r="1017" spans="1:10">
      <c r="A1017">
        <f>HYPERLINK("https://mega.nz/file/nB0QxCZB#skyu8bqc701sq0G3X1p8x3izbLO0hWP8PWpXLIvAOOY", "The Sacred Magic of Abramelin The Mage Book 1")</f>
        <v>0</v>
      </c>
      <c r="B1017" t="s">
        <v>292</v>
      </c>
      <c r="C1017" t="s">
        <v>1473</v>
      </c>
      <c r="D1017" t="s">
        <v>2796</v>
      </c>
      <c r="E1017" t="s">
        <v>3117</v>
      </c>
      <c r="F1017" t="s">
        <v>3131</v>
      </c>
      <c r="G1017" s="2" t="s">
        <v>4147</v>
      </c>
      <c r="H1017">
        <v>6.79E-05</v>
      </c>
      <c r="I1017">
        <v>5.53E-05</v>
      </c>
      <c r="J1017">
        <v>0.0001232</v>
      </c>
    </row>
    <row r="1018" spans="1:10">
      <c r="A1018">
        <f>HYPERLINK("https://mega.nz/file/7V9yWKjI#JouT1Ta3vQCn7tHZn4KDjsRUaxJhAwoItgd0j4eu-JM", "The Sacred Magic of Abramelin The Mage Book 2")</f>
        <v>0</v>
      </c>
      <c r="B1018" t="s">
        <v>292</v>
      </c>
      <c r="C1018" t="s">
        <v>1474</v>
      </c>
      <c r="D1018" t="s">
        <v>2797</v>
      </c>
      <c r="E1018" t="s">
        <v>3117</v>
      </c>
      <c r="F1018" t="s">
        <v>3131</v>
      </c>
      <c r="G1018" s="2" t="s">
        <v>4148</v>
      </c>
      <c r="H1018">
        <v>6.79E-05</v>
      </c>
      <c r="I1018">
        <v>5.74E-05</v>
      </c>
      <c r="J1018">
        <v>0.0001253</v>
      </c>
    </row>
    <row r="1019" spans="1:10">
      <c r="A1019">
        <f>HYPERLINK("https://mega.nz/file/TJ8yiDiT#yNEY27yFroSc5X1mSTOzVtjEI6Ur9NcBwu4ct26bJNo", "The Sacred Magic of Abramelin The Mage Book 3")</f>
        <v>0</v>
      </c>
      <c r="B1019" t="s">
        <v>292</v>
      </c>
      <c r="C1019" t="s">
        <v>1475</v>
      </c>
      <c r="D1019" t="s">
        <v>2798</v>
      </c>
      <c r="E1019" t="s">
        <v>3117</v>
      </c>
      <c r="F1019" t="s">
        <v>3131</v>
      </c>
      <c r="G1019" s="2" t="s">
        <v>4149</v>
      </c>
      <c r="H1019">
        <v>6.79E-05</v>
      </c>
      <c r="I1019">
        <v>5.04E-05</v>
      </c>
      <c r="J1019">
        <v>0.0001183</v>
      </c>
    </row>
    <row r="1020" spans="1:10">
      <c r="A1020">
        <f>HYPERLINK("https://mega.nz/file/TN9C1JSZ#-yTn12hv53ZHI3h2h4OJkE_I5chPu5NIDL7YenGTQO0", "Grimorio de Armadel")</f>
        <v>0</v>
      </c>
      <c r="B1020" t="s">
        <v>293</v>
      </c>
      <c r="C1020" t="s">
        <v>1476</v>
      </c>
      <c r="D1020" t="s">
        <v>2799</v>
      </c>
      <c r="E1020" t="s">
        <v>3117</v>
      </c>
      <c r="F1020" t="s">
        <v>3130</v>
      </c>
      <c r="G1020" s="2" t="s">
        <v>4150</v>
      </c>
      <c r="H1020">
        <v>6.160000000000001E-05</v>
      </c>
      <c r="I1020">
        <v>6.02E-05</v>
      </c>
      <c r="J1020">
        <v>0.0001218</v>
      </c>
    </row>
    <row r="1021" spans="1:10">
      <c r="A1021">
        <f>HYPERLINK("https://mega.nz/file/aJU2gIyZ#KYjXEZSlYhR768P6HRwLSojJlimwFGbzUEAc1YVNohc", "Magia de Abramelin")</f>
        <v>0</v>
      </c>
      <c r="B1021" t="s">
        <v>293</v>
      </c>
      <c r="C1021" t="s">
        <v>1477</v>
      </c>
      <c r="D1021" t="s">
        <v>2800</v>
      </c>
      <c r="E1021" t="s">
        <v>3117</v>
      </c>
      <c r="F1021" t="s">
        <v>3130</v>
      </c>
      <c r="G1021" s="2" t="s">
        <v>4151</v>
      </c>
      <c r="H1021">
        <v>6.160000000000001E-05</v>
      </c>
      <c r="I1021">
        <v>5.6E-05</v>
      </c>
      <c r="J1021">
        <v>0.0001176</v>
      </c>
    </row>
    <row r="1022" spans="1:10">
      <c r="A1022">
        <f>HYPERLINK("https://mega.nz/file/rJ9klBJS#eGSPf1fDOeD-Cy5c_6L1gQyczKI9nwDGTihp_4wvgB4", "Egyptian Myth and Legend")</f>
        <v>0</v>
      </c>
      <c r="B1022" t="s">
        <v>294</v>
      </c>
      <c r="C1022" t="s">
        <v>1478</v>
      </c>
      <c r="D1022" t="s">
        <v>2801</v>
      </c>
      <c r="E1022" t="s">
        <v>3128</v>
      </c>
      <c r="F1022" t="s">
        <v>3131</v>
      </c>
      <c r="G1022" s="2" t="s">
        <v>4152</v>
      </c>
      <c r="H1022">
        <v>5.845E-05</v>
      </c>
      <c r="I1022">
        <v>5.495E-05</v>
      </c>
      <c r="J1022">
        <v>0.0001134</v>
      </c>
    </row>
    <row r="1023" spans="1:10">
      <c r="A1023">
        <f>HYPERLINK("https://mega.nz/file/Kc9iECKC#TABjUYyxkzh7mulxlrBALlIfthqXEGB_iioMz2cDH9A", "Invocation of Our Lord of Midnight")</f>
        <v>0</v>
      </c>
      <c r="B1023" t="s">
        <v>295</v>
      </c>
      <c r="C1023" t="s">
        <v>1479</v>
      </c>
      <c r="D1023" t="s">
        <v>2802</v>
      </c>
      <c r="E1023" t="s">
        <v>3117</v>
      </c>
      <c r="F1023" t="s">
        <v>3131</v>
      </c>
      <c r="G1023" s="2" t="s">
        <v>4153</v>
      </c>
      <c r="H1023">
        <v>6.475E-05</v>
      </c>
      <c r="I1023">
        <v>5.635E-05</v>
      </c>
      <c r="J1023">
        <v>0.0001211</v>
      </c>
    </row>
    <row r="1024" spans="1:10">
      <c r="A1024">
        <f>HYPERLINK("https://mega.nz/file/idMQ3QbZ#2yiNVKnGlqAczTatxZW-rNB_8SyNJIMS_Y09Ron7siM", "Leyes de los fundamentos de la Torah")</f>
        <v>0</v>
      </c>
      <c r="B1024" t="s">
        <v>296</v>
      </c>
      <c r="C1024" t="s">
        <v>1480</v>
      </c>
      <c r="D1024" t="s">
        <v>2803</v>
      </c>
      <c r="E1024" t="s">
        <v>3117</v>
      </c>
      <c r="F1024" t="s">
        <v>3130</v>
      </c>
      <c r="G1024" s="2" t="s">
        <v>4154</v>
      </c>
      <c r="H1024">
        <v>6.475E-05</v>
      </c>
      <c r="I1024">
        <v>6.475E-05</v>
      </c>
      <c r="J1024">
        <v>0.0001295</v>
      </c>
    </row>
    <row r="1025" spans="1:10">
      <c r="A1025">
        <f>HYPERLINK("https://mega.nz/file/XNckha7J#vsXABFCJmInwgls0xoohpisu5IPBbpqwsl2vITkYMOs", "Lectures on Aincient Philosophy")</f>
        <v>0</v>
      </c>
      <c r="B1025" t="s">
        <v>297</v>
      </c>
      <c r="C1025" t="s">
        <v>1481</v>
      </c>
      <c r="D1025" t="s">
        <v>2804</v>
      </c>
      <c r="E1025" t="s">
        <v>3117</v>
      </c>
      <c r="F1025" t="s">
        <v>3131</v>
      </c>
      <c r="G1025" s="2" t="s">
        <v>4155</v>
      </c>
      <c r="H1025">
        <v>6.334999999999999E-05</v>
      </c>
      <c r="I1025">
        <v>6.160000000000001E-05</v>
      </c>
      <c r="J1025">
        <v>0.00012495</v>
      </c>
    </row>
    <row r="1026" spans="1:10">
      <c r="A1026">
        <f>HYPERLINK("https://mega.nz/file/bMlikK4Z#yJqQABraFidwnSkFNXJ6UvM5hPh_NR4ffwenzJk7eGs", "The Secret Teachings of All Ages")</f>
        <v>0</v>
      </c>
      <c r="B1026" t="s">
        <v>297</v>
      </c>
      <c r="C1026" t="s">
        <v>1482</v>
      </c>
      <c r="D1026" t="s">
        <v>2805</v>
      </c>
      <c r="E1026" t="s">
        <v>3117</v>
      </c>
      <c r="F1026" t="s">
        <v>3131</v>
      </c>
      <c r="G1026" s="2" t="s">
        <v>4156</v>
      </c>
      <c r="H1026">
        <v>6.37E-05</v>
      </c>
      <c r="I1026">
        <v>5.46E-05</v>
      </c>
      <c r="J1026">
        <v>0.0001183</v>
      </c>
    </row>
    <row r="1027" spans="1:10">
      <c r="A1027">
        <f>HYPERLINK("https://mega.nz/file/2R0BQDxQ#NklK1zbRoIdT5aZHODwamwqogXaOsYnXESVlKVxnP1g", "Lost Keys")</f>
        <v>0</v>
      </c>
      <c r="B1027" t="s">
        <v>298</v>
      </c>
      <c r="C1027" t="s">
        <v>1483</v>
      </c>
      <c r="D1027" t="s">
        <v>2806</v>
      </c>
      <c r="E1027" t="s">
        <v>3117</v>
      </c>
      <c r="F1027" t="s">
        <v>3131</v>
      </c>
      <c r="G1027" s="2" t="s">
        <v>4157</v>
      </c>
      <c r="H1027">
        <v>5.81E-05</v>
      </c>
      <c r="I1027">
        <v>5.005E-05</v>
      </c>
      <c r="J1027">
        <v>0.00010815</v>
      </c>
    </row>
    <row r="1028" spans="1:10">
      <c r="A1028">
        <f>HYPERLINK("https://mega.nz/file/TJ1nFTpY#gwitJ3Dgj3oWvzbGQG9ru1umph_6T-YWmByOa5Inq7w", "The Doorway")</f>
        <v>0</v>
      </c>
      <c r="B1028" t="s">
        <v>299</v>
      </c>
      <c r="C1028" t="s">
        <v>1484</v>
      </c>
      <c r="D1028" t="s">
        <v>2807</v>
      </c>
      <c r="E1028" t="s">
        <v>3117</v>
      </c>
      <c r="F1028" t="s">
        <v>3131</v>
      </c>
      <c r="G1028" s="2" t="s">
        <v>4158</v>
      </c>
      <c r="H1028">
        <v>5.95E-05</v>
      </c>
      <c r="I1028">
        <v>4.48E-05</v>
      </c>
      <c r="J1028">
        <v>0.0001043</v>
      </c>
    </row>
    <row r="1029" spans="1:10">
      <c r="A1029">
        <f>HYPERLINK("https://mega.nz/file/fF0DDJ7C#AuUkvCtmdfLDIt0ww2Nof-IJiuLBbT5khEJBxCMVr0U", "The God of the Witches")</f>
        <v>0</v>
      </c>
      <c r="B1029" t="s">
        <v>300</v>
      </c>
      <c r="C1029" t="s">
        <v>1485</v>
      </c>
      <c r="D1029" t="s">
        <v>2808</v>
      </c>
      <c r="E1029" t="s">
        <v>3117</v>
      </c>
      <c r="F1029" t="s">
        <v>3131</v>
      </c>
      <c r="G1029" s="2" t="s">
        <v>4159</v>
      </c>
      <c r="H1029">
        <v>6.160000000000001E-05</v>
      </c>
      <c r="I1029">
        <v>5.32E-05</v>
      </c>
      <c r="J1029">
        <v>0.0001148</v>
      </c>
    </row>
    <row r="1030" spans="1:10">
      <c r="A1030">
        <f>HYPERLINK("https://mega.nz/file/nAcXXYII#40WmA_La3niOmYP_HfudF4sYglhF2_MS9qSftsddTv8", "El Dios De Los Brujos Wicca")</f>
        <v>0</v>
      </c>
      <c r="B1030" t="s">
        <v>301</v>
      </c>
      <c r="C1030" t="s">
        <v>1486</v>
      </c>
      <c r="D1030" t="s">
        <v>2809</v>
      </c>
      <c r="E1030" t="s">
        <v>3123</v>
      </c>
      <c r="F1030" t="s">
        <v>3130</v>
      </c>
      <c r="G1030" s="2" t="s">
        <v>4160</v>
      </c>
      <c r="H1030">
        <v>6.23E-05</v>
      </c>
      <c r="I1030">
        <v>5.425E-05</v>
      </c>
      <c r="J1030">
        <v>0.00011655</v>
      </c>
    </row>
    <row r="1031" spans="1:10">
      <c r="A1031">
        <f>HYPERLINK("https://mega.nz/file/TNVhUKjL#hodfHTWeX4hJ1QDk7JjQ6kHq0UhEYwKUDi-lErkTJxs", "Wicca Manual de la bruja moderna")</f>
        <v>0</v>
      </c>
      <c r="B1031" t="s">
        <v>302</v>
      </c>
      <c r="C1031" t="s">
        <v>1487</v>
      </c>
      <c r="D1031" t="s">
        <v>2810</v>
      </c>
      <c r="E1031" t="s">
        <v>3123</v>
      </c>
      <c r="F1031" t="s">
        <v>3130</v>
      </c>
      <c r="G1031" s="2" t="s">
        <v>4161</v>
      </c>
      <c r="H1031">
        <v>6.475E-05</v>
      </c>
      <c r="I1031">
        <v>5.845E-05</v>
      </c>
      <c r="J1031">
        <v>0.0001232</v>
      </c>
    </row>
    <row r="1032" spans="1:10">
      <c r="A1032">
        <f>HYPERLINK("https://mega.nz/file/SF0xgQ5K#pnpTVjtZkWQHjbjF8QAKTJX_lDTLVTXVjwOjL6jf59A", "La Conexion Atlante")</f>
        <v>0</v>
      </c>
      <c r="B1032" t="s">
        <v>303</v>
      </c>
      <c r="C1032" t="s">
        <v>1488</v>
      </c>
      <c r="D1032" t="s">
        <v>2811</v>
      </c>
      <c r="E1032" t="s">
        <v>3117</v>
      </c>
      <c r="F1032" t="s">
        <v>3130</v>
      </c>
      <c r="G1032" s="2" t="s">
        <v>4162</v>
      </c>
      <c r="H1032">
        <v>6.055E-05</v>
      </c>
      <c r="I1032">
        <v>6.475E-05</v>
      </c>
      <c r="J1032">
        <v>0.0001253</v>
      </c>
    </row>
    <row r="1033" spans="1:10">
      <c r="A1033">
        <f>HYPERLINK("https://mega.nz/file/SZVFCbqC#2gPzDJ9RPR6wfKIzn2I16nxaNnX1rFBaCSOdKKA8fD0", "Los Mensajes Ocultos del Agua")</f>
        <v>0</v>
      </c>
      <c r="B1033" t="s">
        <v>304</v>
      </c>
      <c r="C1033" t="s">
        <v>1489</v>
      </c>
      <c r="D1033" t="s">
        <v>2812</v>
      </c>
      <c r="E1033" t="s">
        <v>3117</v>
      </c>
      <c r="F1033" t="s">
        <v>3130</v>
      </c>
      <c r="G1033" s="2" t="s">
        <v>4163</v>
      </c>
      <c r="H1033">
        <v>6.475E-05</v>
      </c>
      <c r="I1033">
        <v>5.915E-05</v>
      </c>
      <c r="J1033">
        <v>0.0001239</v>
      </c>
    </row>
    <row r="1034" spans="1:10">
      <c r="A1034">
        <f>HYPERLINK("https://mega.nz/file/yIcH0DTZ#RU6ADt6O_ye5fAkgKBsTFY_nrCBSjMz-mYJ7QB-1q_I", "Raja Yoga")</f>
        <v>0</v>
      </c>
      <c r="B1034" t="s">
        <v>305</v>
      </c>
      <c r="C1034" t="s">
        <v>1490</v>
      </c>
      <c r="D1034" t="s">
        <v>2813</v>
      </c>
      <c r="E1034" t="s">
        <v>3119</v>
      </c>
      <c r="F1034" t="s">
        <v>3131</v>
      </c>
      <c r="G1034" s="2" t="s">
        <v>4164</v>
      </c>
      <c r="H1034">
        <v>5.81E-05</v>
      </c>
      <c r="I1034">
        <v>5.145E-05</v>
      </c>
      <c r="J1034">
        <v>0.00010955</v>
      </c>
    </row>
    <row r="1035" spans="1:10">
      <c r="A1035">
        <f>HYPERLINK("https://mega.nz/file/OdF0VTrB#pLv79AluP4JoS-H00N6ExUXt6sI7yj6DxC8Mcj2tqrI", "Kabbalah Unveiled")</f>
        <v>0</v>
      </c>
      <c r="B1035" t="s">
        <v>306</v>
      </c>
      <c r="C1035" t="s">
        <v>1491</v>
      </c>
      <c r="D1035" t="s">
        <v>2814</v>
      </c>
      <c r="E1035" t="s">
        <v>3118</v>
      </c>
      <c r="F1035" t="s">
        <v>3131</v>
      </c>
      <c r="G1035" s="2" t="s">
        <v>4165</v>
      </c>
      <c r="H1035">
        <v>6.055E-05</v>
      </c>
      <c r="I1035">
        <v>5.845E-05</v>
      </c>
      <c r="J1035">
        <v>0.000119</v>
      </c>
    </row>
    <row r="1036" spans="1:10">
      <c r="A1036">
        <f>HYPERLINK("https://mega.nz/file/jMEGyYIL#cRsS6iP6G-RyZzf4Ejvmf86Tu2K3Rr_wmKpH7QPnJF0", "The Greater Key of Solomon")</f>
        <v>0</v>
      </c>
      <c r="B1036" t="s">
        <v>307</v>
      </c>
      <c r="C1036" t="s">
        <v>1032</v>
      </c>
      <c r="D1036" t="s">
        <v>2815</v>
      </c>
      <c r="E1036" t="s">
        <v>3117</v>
      </c>
      <c r="F1036" t="s">
        <v>3131</v>
      </c>
      <c r="G1036" s="2" t="s">
        <v>4166</v>
      </c>
      <c r="H1036">
        <v>6.37E-05</v>
      </c>
      <c r="I1036">
        <v>5.355E-05</v>
      </c>
      <c r="J1036">
        <v>0.00011725</v>
      </c>
    </row>
    <row r="1037" spans="1:10">
      <c r="A1037">
        <f>HYPERLINK("https://mega.nz/file/eJk2yZBS#q8GejPwkgU_sErMlOpiXBn7OpRyA3Gxrzwmnul-WRC4", "The Greater Key of Solomon Vol 1")</f>
        <v>0</v>
      </c>
      <c r="B1037" t="s">
        <v>307</v>
      </c>
      <c r="C1037" t="s">
        <v>1492</v>
      </c>
      <c r="D1037" t="s">
        <v>2816</v>
      </c>
      <c r="E1037" t="s">
        <v>3117</v>
      </c>
      <c r="F1037" t="s">
        <v>3131</v>
      </c>
      <c r="G1037" s="2" t="s">
        <v>4167</v>
      </c>
      <c r="H1037">
        <v>6.58E-05</v>
      </c>
      <c r="I1037">
        <v>5.74E-05</v>
      </c>
      <c r="J1037">
        <v>0.0001232</v>
      </c>
    </row>
    <row r="1038" spans="1:10">
      <c r="A1038">
        <f>HYPERLINK("https://mega.nz/file/7JE2jTbQ#9zbC83Nk9JM-mWAUfmC9gAMNfvqyH5FEcwxTuh81DPQ", "The Greater Key of Solomon Vol 2")</f>
        <v>0</v>
      </c>
      <c r="B1038" t="s">
        <v>307</v>
      </c>
      <c r="C1038" t="s">
        <v>1493</v>
      </c>
      <c r="D1038" t="s">
        <v>2817</v>
      </c>
      <c r="E1038" t="s">
        <v>3117</v>
      </c>
      <c r="F1038" t="s">
        <v>3131</v>
      </c>
      <c r="G1038" s="2" t="s">
        <v>4168</v>
      </c>
      <c r="H1038">
        <v>6.58E-05</v>
      </c>
      <c r="I1038">
        <v>5.95E-05</v>
      </c>
      <c r="J1038">
        <v>0.0001253</v>
      </c>
    </row>
    <row r="1039" spans="1:10">
      <c r="A1039">
        <f>HYPERLINK("https://mega.nz/file/KcM2yI7Z#DsOwAC6r-i3-U4d4YkjxMiPmKSCgKUI8R7iJj1IvDCc", "The Lesser Key of Solomon, Lemegeton")</f>
        <v>0</v>
      </c>
      <c r="B1039" t="s">
        <v>307</v>
      </c>
      <c r="C1039" t="s">
        <v>1494</v>
      </c>
      <c r="D1039" t="s">
        <v>2818</v>
      </c>
      <c r="E1039" t="s">
        <v>3117</v>
      </c>
      <c r="F1039" t="s">
        <v>3131</v>
      </c>
      <c r="G1039" s="2" t="s">
        <v>4169</v>
      </c>
      <c r="H1039">
        <v>6.895E-05</v>
      </c>
      <c r="I1039">
        <v>6.160000000000001E-05</v>
      </c>
      <c r="J1039">
        <v>0.00013055</v>
      </c>
    </row>
    <row r="1040" spans="1:10">
      <c r="A1040">
        <f>HYPERLINK("https://mega.nz/file/ucFUGY7C#E_dOBiilSg5-i7s6pDNhY8kOjF4bHGhU_HAFnJy4rtk", "The Lesser Key of Solomon, Lemegeton")</f>
        <v>0</v>
      </c>
      <c r="B1040" t="s">
        <v>307</v>
      </c>
      <c r="C1040" t="s">
        <v>1494</v>
      </c>
      <c r="D1040" t="s">
        <v>2819</v>
      </c>
      <c r="E1040" t="s">
        <v>3117</v>
      </c>
      <c r="F1040" t="s">
        <v>3131</v>
      </c>
      <c r="G1040" s="2" t="s">
        <v>4170</v>
      </c>
      <c r="H1040">
        <v>6.895E-05</v>
      </c>
      <c r="I1040">
        <v>5.88E-05</v>
      </c>
      <c r="J1040">
        <v>0.00012775</v>
      </c>
    </row>
    <row r="1041" spans="1:10">
      <c r="A1041">
        <f>HYPERLINK("https://mega.nz/file/eA8zWaJZ#2CW2Ito-ECTvAlw-Z9U_TMRhRSkMRT57C65UO6KgXoo", "The Lesser Key of Solomon, Lemegeton")</f>
        <v>0</v>
      </c>
      <c r="B1041" t="s">
        <v>307</v>
      </c>
      <c r="C1041" t="s">
        <v>1494</v>
      </c>
      <c r="D1041" t="s">
        <v>2820</v>
      </c>
      <c r="E1041" t="s">
        <v>3117</v>
      </c>
      <c r="F1041" t="s">
        <v>3131</v>
      </c>
      <c r="G1041" s="2" t="s">
        <v>4171</v>
      </c>
      <c r="H1041">
        <v>6.895E-05</v>
      </c>
      <c r="I1041">
        <v>5.95E-05</v>
      </c>
      <c r="J1041">
        <v>0.00012845</v>
      </c>
    </row>
    <row r="1042" spans="1:10">
      <c r="A1042">
        <f>HYPERLINK("https://mega.nz/file/iE9RXD5L#cwL5KIFKpSXZSpsjMKMl8Ds9OxqqEhJw9nU7IW0GN6M", "The Lesser Key of Solomon, Lemegeton Vol 1")</f>
        <v>0</v>
      </c>
      <c r="B1042" t="s">
        <v>307</v>
      </c>
      <c r="C1042" t="s">
        <v>1495</v>
      </c>
      <c r="D1042" t="s">
        <v>2821</v>
      </c>
      <c r="E1042" t="s">
        <v>3117</v>
      </c>
      <c r="F1042" t="s">
        <v>3131</v>
      </c>
      <c r="G1042" s="2" t="s">
        <v>4172</v>
      </c>
      <c r="H1042">
        <v>7.105000000000001E-05</v>
      </c>
      <c r="I1042">
        <v>6.265E-05</v>
      </c>
      <c r="J1042">
        <v>0.0001337</v>
      </c>
    </row>
    <row r="1043" spans="1:10">
      <c r="A1043">
        <f>HYPERLINK("https://mega.nz/file/3QN13aJS#pJHaeWDZYVhI5qHlukQyprtN8uklxLTyCQT42ljYHD8", "The Lesser Key of Solomon, Lemegeton Vol 2")</f>
        <v>0</v>
      </c>
      <c r="B1043" t="s">
        <v>307</v>
      </c>
      <c r="C1043" t="s">
        <v>1496</v>
      </c>
      <c r="D1043" t="s">
        <v>2822</v>
      </c>
      <c r="E1043" t="s">
        <v>3117</v>
      </c>
      <c r="F1043" t="s">
        <v>3131</v>
      </c>
      <c r="G1043" s="2" t="s">
        <v>4173</v>
      </c>
      <c r="H1043">
        <v>7.105000000000001E-05</v>
      </c>
      <c r="I1043">
        <v>6.405E-05</v>
      </c>
      <c r="J1043">
        <v>0.0001351</v>
      </c>
    </row>
    <row r="1044" spans="1:10">
      <c r="A1044">
        <f>HYPERLINK("https://mega.nz/file/bI8R1Rra#qsj6HMlOqliLYqOWOGnOBW8npg4HY7yMy9BSVU_Y8KU", "Ancient and Modern Initiation")</f>
        <v>0</v>
      </c>
      <c r="B1044" t="s">
        <v>308</v>
      </c>
      <c r="C1044" t="s">
        <v>1497</v>
      </c>
      <c r="D1044" t="s">
        <v>2823</v>
      </c>
      <c r="E1044" t="s">
        <v>3117</v>
      </c>
      <c r="F1044" t="s">
        <v>3131</v>
      </c>
      <c r="G1044" s="2" t="s">
        <v>4174</v>
      </c>
      <c r="H1044">
        <v>5.95E-05</v>
      </c>
      <c r="I1044">
        <v>4.55E-05</v>
      </c>
      <c r="J1044">
        <v>0.000105</v>
      </c>
    </row>
    <row r="1045" spans="1:10">
      <c r="A1045">
        <f>HYPERLINK("https://mega.nz/file/3VUySRiJ#rddazEdDKkzSzBd_pFJWMwNrHec17g0zIoqYdKjR5LY", "Message of the Stars")</f>
        <v>0</v>
      </c>
      <c r="B1045" t="s">
        <v>308</v>
      </c>
      <c r="C1045" t="s">
        <v>1498</v>
      </c>
      <c r="D1045" t="s">
        <v>2824</v>
      </c>
      <c r="E1045" t="s">
        <v>3117</v>
      </c>
      <c r="F1045" t="s">
        <v>3131</v>
      </c>
      <c r="G1045" s="2" t="s">
        <v>4175</v>
      </c>
      <c r="H1045">
        <v>5.95E-05</v>
      </c>
      <c r="I1045">
        <v>5.11E-05</v>
      </c>
      <c r="J1045">
        <v>0.0001106</v>
      </c>
    </row>
    <row r="1046" spans="1:10">
      <c r="A1046">
        <f>HYPERLINK("https://mega.nz/file/yEFE3RwD#2Ppn-OKOTnU5j604g9aUgiRd_6eI-NFE7qFTTvf_RNg", "recolecciones de un mistico")</f>
        <v>0</v>
      </c>
      <c r="B1046" t="s">
        <v>308</v>
      </c>
      <c r="C1046" t="s">
        <v>1499</v>
      </c>
      <c r="D1046" t="s">
        <v>2825</v>
      </c>
      <c r="E1046" t="s">
        <v>3117</v>
      </c>
      <c r="F1046" t="s">
        <v>3130</v>
      </c>
      <c r="G1046" s="2" t="s">
        <v>4176</v>
      </c>
      <c r="H1046">
        <v>6.3E-05</v>
      </c>
      <c r="I1046">
        <v>5.845E-05</v>
      </c>
      <c r="J1046">
        <v>0.00012145</v>
      </c>
    </row>
    <row r="1047" spans="1:10">
      <c r="A1047">
        <f>HYPERLINK("https://mega.nz/file/zU9jgT6B#TOxaeo7HCnpiwyMwsSHRD0bvkSowCmdJ0ethB71v80U", "Teachings of an Initiate")</f>
        <v>0</v>
      </c>
      <c r="B1047" t="s">
        <v>308</v>
      </c>
      <c r="C1047" t="s">
        <v>1500</v>
      </c>
      <c r="D1047" t="s">
        <v>2826</v>
      </c>
      <c r="E1047" t="s">
        <v>3117</v>
      </c>
      <c r="F1047" t="s">
        <v>3131</v>
      </c>
      <c r="G1047" s="2" t="s">
        <v>4177</v>
      </c>
      <c r="H1047">
        <v>6.055E-05</v>
      </c>
      <c r="I1047">
        <v>5.355E-05</v>
      </c>
      <c r="J1047">
        <v>0.0001141</v>
      </c>
    </row>
    <row r="1048" spans="1:10">
      <c r="A1048">
        <f>HYPERLINK("https://mega.nz/file/7YdRATaQ#vho7-pKYJH1ftR7XXHbBCcqbfET4kxZ-dcDCMyF7SHg", "Hermes El Maestro De La Sabiduria")</f>
        <v>0</v>
      </c>
      <c r="B1048" t="s">
        <v>309</v>
      </c>
      <c r="C1048" t="s">
        <v>1501</v>
      </c>
      <c r="D1048" t="s">
        <v>2827</v>
      </c>
      <c r="E1048" t="s">
        <v>3126</v>
      </c>
      <c r="F1048" t="s">
        <v>3130</v>
      </c>
      <c r="G1048" s="2" t="s">
        <v>4178</v>
      </c>
      <c r="H1048">
        <v>6.545000000000001E-05</v>
      </c>
      <c r="I1048">
        <v>5.6E-05</v>
      </c>
      <c r="J1048">
        <v>0.00012145</v>
      </c>
    </row>
    <row r="1049" spans="1:10">
      <c r="A1049">
        <f>HYPERLINK("https://mega.nz/file/vd9wiR5J#NgCrK_6lcud3RrwC_NqlGGv0Ylzw_3d2OfZoeeHZs1c", "Desenmascarando El Codigo Davinci")</f>
        <v>0</v>
      </c>
      <c r="B1049" t="s">
        <v>310</v>
      </c>
      <c r="C1049" t="s">
        <v>1502</v>
      </c>
      <c r="D1049" t="s">
        <v>2828</v>
      </c>
      <c r="E1049" t="s">
        <v>3117</v>
      </c>
      <c r="F1049" t="s">
        <v>3130</v>
      </c>
      <c r="G1049" s="2" t="s">
        <v>4179</v>
      </c>
      <c r="H1049">
        <v>6.475E-05</v>
      </c>
      <c r="I1049">
        <v>5.985E-05</v>
      </c>
      <c r="J1049">
        <v>0.0001246</v>
      </c>
    </row>
    <row r="1050" spans="1:10">
      <c r="A1050">
        <f>HYPERLINK("https://mega.nz/file/3NE32b4Y#dS-kxvL6Vy5cqQL62Z3bbpcLgwm-i2-L19co6s90FAo", "Comedy Writing Secrets, 2nd Edition")</f>
        <v>0</v>
      </c>
      <c r="B1050" t="s">
        <v>311</v>
      </c>
      <c r="C1050" t="s">
        <v>1503</v>
      </c>
      <c r="D1050" t="s">
        <v>2829</v>
      </c>
      <c r="E1050" t="s">
        <v>3117</v>
      </c>
      <c r="F1050" t="s">
        <v>3131</v>
      </c>
      <c r="G1050" s="2" t="s">
        <v>4180</v>
      </c>
      <c r="H1050">
        <v>6.685E-05</v>
      </c>
      <c r="I1050">
        <v>6.755E-05</v>
      </c>
      <c r="J1050">
        <v>0.0001344</v>
      </c>
    </row>
    <row r="1051" spans="1:10">
      <c r="A1051">
        <f>HYPERLINK("https://mega.nz/file/vN9kmCib#T-xhDPFY_a7Mx16BpdOCSHJkqEkZo5uPmMylvgiUCHE", "El significado de los numeros")</f>
        <v>0</v>
      </c>
      <c r="B1051" t="s">
        <v>312</v>
      </c>
      <c r="C1051" t="s">
        <v>1504</v>
      </c>
      <c r="D1051" t="s">
        <v>2830</v>
      </c>
      <c r="E1051" t="s">
        <v>3117</v>
      </c>
      <c r="F1051" t="s">
        <v>3130</v>
      </c>
      <c r="G1051" s="2" t="s">
        <v>4181</v>
      </c>
      <c r="H1051">
        <v>6.160000000000001E-05</v>
      </c>
      <c r="I1051">
        <v>6.09E-05</v>
      </c>
      <c r="J1051">
        <v>0.0001225</v>
      </c>
    </row>
    <row r="1052" spans="1:10">
      <c r="A1052">
        <f>HYPERLINK("https://mega.nz/file/bVdhEQTZ#Su4MRxiwjbvnscTuo-Jw9J-NMM8Imng_OxiaRNbpHKo", "Church of Satan")</f>
        <v>0</v>
      </c>
      <c r="B1052" t="s">
        <v>313</v>
      </c>
      <c r="C1052" t="s">
        <v>1505</v>
      </c>
      <c r="D1052" t="s">
        <v>2831</v>
      </c>
      <c r="E1052" t="s">
        <v>3117</v>
      </c>
      <c r="F1052" t="s">
        <v>3131</v>
      </c>
      <c r="G1052" s="2" t="s">
        <v>4182</v>
      </c>
      <c r="H1052">
        <v>5.95E-05</v>
      </c>
      <c r="I1052">
        <v>5.6E-05</v>
      </c>
      <c r="J1052">
        <v>0.0001155</v>
      </c>
    </row>
    <row r="1053" spans="1:10">
      <c r="A1053">
        <f>HYPERLINK("https://mega.nz/file/bFUg0bYZ#Zs-SR8UZ3fTar9eQR_y9mBb7-_B1VwkVMK9kjGT-cbc", "Astrotheology And Sidereal Mythology")</f>
        <v>0</v>
      </c>
      <c r="B1053" t="s">
        <v>314</v>
      </c>
      <c r="C1053" t="s">
        <v>1506</v>
      </c>
      <c r="D1053" t="s">
        <v>2832</v>
      </c>
      <c r="E1053" t="s">
        <v>3117</v>
      </c>
      <c r="F1053" t="s">
        <v>3131</v>
      </c>
      <c r="G1053" s="2" t="s">
        <v>4183</v>
      </c>
      <c r="H1053">
        <v>6.334999999999999E-05</v>
      </c>
      <c r="I1053">
        <v>5.46E-05</v>
      </c>
      <c r="J1053">
        <v>0.00011795</v>
      </c>
    </row>
    <row r="1054" spans="1:10">
      <c r="A1054">
        <f>HYPERLINK("https://mega.nz/file/OVlWhBbJ#5rJPvf2uc9CUoXwM9qVIlzT_cuvN4GMtpF0jwMtFt08", "Atlantis, Alien Visitation and Genetic Manipulation")</f>
        <v>0</v>
      </c>
      <c r="B1054" t="s">
        <v>314</v>
      </c>
      <c r="C1054" t="s">
        <v>1507</v>
      </c>
      <c r="D1054" t="s">
        <v>2833</v>
      </c>
      <c r="E1054" t="s">
        <v>3117</v>
      </c>
      <c r="F1054" t="s">
        <v>3131</v>
      </c>
      <c r="G1054" s="2" t="s">
        <v>4184</v>
      </c>
      <c r="H1054">
        <v>6.334999999999999E-05</v>
      </c>
      <c r="I1054">
        <v>4.69E-05</v>
      </c>
      <c r="J1054">
        <v>0.00011025</v>
      </c>
    </row>
    <row r="1055" spans="1:10">
      <c r="A1055">
        <f>HYPERLINK("https://mega.nz/file/KUVHlCRR#ijxMYjXlm__N98zcwfatI4e_tYwIkGK0n2571DXLE2o", "Historia del Satanismo y la Brujeria")</f>
        <v>0</v>
      </c>
      <c r="B1055" t="s">
        <v>315</v>
      </c>
      <c r="C1055" t="s">
        <v>1508</v>
      </c>
      <c r="D1055" t="s">
        <v>2834</v>
      </c>
      <c r="E1055" t="s">
        <v>3127</v>
      </c>
      <c r="F1055" t="s">
        <v>3130</v>
      </c>
      <c r="G1055" s="2" t="s">
        <v>4185</v>
      </c>
      <c r="H1055">
        <v>6.475E-05</v>
      </c>
      <c r="I1055">
        <v>6.825000000000001E-05</v>
      </c>
      <c r="J1055">
        <v>0.000133</v>
      </c>
    </row>
    <row r="1056" spans="1:10">
      <c r="A1056">
        <f>HYPERLINK("https://mega.nz/file/mRcGgCbA#kMrvXGm39Hzu5YQ3PKhVt6ALh-dJii_sM0zzDkEhrhg", "Mis Experiencias en La Religion")</f>
        <v>0</v>
      </c>
      <c r="B1056" t="s">
        <v>316</v>
      </c>
      <c r="C1056" t="s">
        <v>1509</v>
      </c>
      <c r="D1056" t="s">
        <v>2835</v>
      </c>
      <c r="E1056" t="s">
        <v>3117</v>
      </c>
      <c r="F1056" t="s">
        <v>3130</v>
      </c>
      <c r="G1056" s="2" t="s">
        <v>4186</v>
      </c>
      <c r="H1056">
        <v>6.545000000000001E-05</v>
      </c>
      <c r="I1056">
        <v>6.23E-05</v>
      </c>
      <c r="J1056">
        <v>0.00012775</v>
      </c>
    </row>
    <row r="1057" spans="1:10">
      <c r="A1057">
        <f>HYPERLINK("https://mega.nz/file/yIl12DhJ#4bkTjwrT3-Er6pgWWlD475srYVOnXm6WrSKMgpc-kw0", "Protection and Reversal Magick")</f>
        <v>0</v>
      </c>
      <c r="B1057" t="s">
        <v>317</v>
      </c>
      <c r="C1057" t="s">
        <v>1510</v>
      </c>
      <c r="D1057" t="s">
        <v>2836</v>
      </c>
      <c r="E1057" t="s">
        <v>3117</v>
      </c>
      <c r="F1057" t="s">
        <v>3131</v>
      </c>
      <c r="G1057" s="2" t="s">
        <v>4187</v>
      </c>
      <c r="H1057">
        <v>6.160000000000001E-05</v>
      </c>
      <c r="I1057">
        <v>5.6E-05</v>
      </c>
      <c r="J1057">
        <v>0.0001176</v>
      </c>
    </row>
    <row r="1058" spans="1:10">
      <c r="A1058">
        <f>HYPERLINK("https://mega.nz/file/iJsTEI5b#7skHs5pMBa1CQGFnh0m4jJIbzNP-UO8XHhDsaGsCeQI", "Compleat Tarot Manual")</f>
        <v>0</v>
      </c>
      <c r="B1058" t="s">
        <v>318</v>
      </c>
      <c r="C1058" t="s">
        <v>1511</v>
      </c>
      <c r="D1058" t="s">
        <v>2837</v>
      </c>
      <c r="E1058" t="s">
        <v>1188</v>
      </c>
      <c r="F1058" t="s">
        <v>3131</v>
      </c>
      <c r="G1058" s="2" t="s">
        <v>4188</v>
      </c>
      <c r="H1058">
        <v>5.775E-05</v>
      </c>
      <c r="I1058">
        <v>5.46E-05</v>
      </c>
      <c r="J1058">
        <v>0.00011235</v>
      </c>
    </row>
    <row r="1059" spans="1:10">
      <c r="A1059">
        <f>HYPERLINK("https://mega.nz/file/GU9QHSJB#a4C1slTWr7-_94eUDbNYgj1r3JnqBoE1-tgmpJnkur4", "Compleat Tarot Pak")</f>
        <v>0</v>
      </c>
      <c r="B1059" t="s">
        <v>318</v>
      </c>
      <c r="C1059" t="s">
        <v>1512</v>
      </c>
      <c r="D1059" t="s">
        <v>2838</v>
      </c>
      <c r="E1059" t="s">
        <v>1188</v>
      </c>
      <c r="F1059" t="s">
        <v>3131</v>
      </c>
      <c r="G1059" s="2" t="s">
        <v>4189</v>
      </c>
      <c r="H1059">
        <v>5.775E-05</v>
      </c>
      <c r="I1059">
        <v>5.04E-05</v>
      </c>
      <c r="J1059">
        <v>0.00010815</v>
      </c>
    </row>
    <row r="1060" spans="1:10">
      <c r="A1060">
        <f>HYPERLINK("https://mega.nz/file/WNljFCoY#CNXPCbbIwh33kGkX6iPEQ6BWlPLU-rZyNlErjgG9jQg", "Historical Calendar Of Jesus")</f>
        <v>0</v>
      </c>
      <c r="B1060" t="s">
        <v>318</v>
      </c>
      <c r="C1060" t="s">
        <v>1513</v>
      </c>
      <c r="D1060" t="s">
        <v>2839</v>
      </c>
      <c r="E1060" t="s">
        <v>3117</v>
      </c>
      <c r="F1060" t="s">
        <v>3131</v>
      </c>
      <c r="G1060" s="2" t="s">
        <v>4190</v>
      </c>
      <c r="H1060">
        <v>5.775E-05</v>
      </c>
      <c r="I1060">
        <v>5.18E-05</v>
      </c>
      <c r="J1060">
        <v>0.00010955</v>
      </c>
    </row>
    <row r="1061" spans="1:10">
      <c r="A1061">
        <f>HYPERLINK("https://mega.nz/file/eBU1nTRS#5tQsmh7NYZVUo-mvgCnfVao-vBuSjb7LafkGViD2zWk", "Interlinear Nostradamus")</f>
        <v>0</v>
      </c>
      <c r="B1061" t="s">
        <v>318</v>
      </c>
      <c r="C1061" t="s">
        <v>1514</v>
      </c>
      <c r="D1061" t="s">
        <v>2840</v>
      </c>
      <c r="E1061" t="s">
        <v>3117</v>
      </c>
      <c r="F1061" t="s">
        <v>3131</v>
      </c>
      <c r="G1061" s="2" t="s">
        <v>4191</v>
      </c>
      <c r="H1061">
        <v>5.88E-05</v>
      </c>
      <c r="I1061">
        <v>5.845E-05</v>
      </c>
      <c r="J1061">
        <v>0.00011725</v>
      </c>
    </row>
    <row r="1062" spans="1:10">
      <c r="A1062">
        <f>HYPERLINK("https://mega.nz/file/HF8y1YQZ#y13KgF35L5OmDk-xIjk1Cu3AghABALBy6zPPtKgDC7U", "Judicial Horoscopes")</f>
        <v>0</v>
      </c>
      <c r="B1062" t="s">
        <v>318</v>
      </c>
      <c r="C1062" t="s">
        <v>1515</v>
      </c>
      <c r="D1062" t="s">
        <v>2841</v>
      </c>
      <c r="E1062" t="s">
        <v>3117</v>
      </c>
      <c r="F1062" t="s">
        <v>3131</v>
      </c>
      <c r="G1062" s="2" t="s">
        <v>4192</v>
      </c>
      <c r="H1062">
        <v>5.74E-05</v>
      </c>
      <c r="I1062">
        <v>5.53E-05</v>
      </c>
      <c r="J1062">
        <v>0.0001127</v>
      </c>
    </row>
    <row r="1063" spans="1:10">
      <c r="A1063">
        <f>HYPERLINK("https://mega.nz/file/zFsjAZQK#RrWkRVN8byv9ElvPvgAgeCPDSjwB5O8k1tQz90sn3Xw", "Light &amp; Sound")</f>
        <v>0</v>
      </c>
      <c r="B1063" t="s">
        <v>318</v>
      </c>
      <c r="C1063" t="s">
        <v>1516</v>
      </c>
      <c r="D1063" t="s">
        <v>2842</v>
      </c>
      <c r="E1063" t="s">
        <v>3117</v>
      </c>
      <c r="F1063" t="s">
        <v>3131</v>
      </c>
      <c r="G1063" s="2" t="s">
        <v>4193</v>
      </c>
      <c r="H1063">
        <v>5.67E-05</v>
      </c>
      <c r="I1063">
        <v>4.795E-05</v>
      </c>
      <c r="J1063">
        <v>0.00010465</v>
      </c>
    </row>
    <row r="1064" spans="1:10">
      <c r="A1064">
        <f>HYPERLINK("https://mega.nz/file/7ZcUwRIY#rJ39rz-96d5mcIX5oyaWayIKxAo36LTf4IoGtB0qePo", "Chinese Taoist Sorcery")</f>
        <v>0</v>
      </c>
      <c r="B1064" t="s">
        <v>319</v>
      </c>
      <c r="C1064" t="s">
        <v>1517</v>
      </c>
      <c r="D1064" t="s">
        <v>2843</v>
      </c>
      <c r="E1064" t="s">
        <v>3117</v>
      </c>
      <c r="F1064" t="s">
        <v>3131</v>
      </c>
      <c r="G1064" s="2" t="s">
        <v>4194</v>
      </c>
      <c r="H1064">
        <v>5.95E-05</v>
      </c>
      <c r="I1064">
        <v>5.32E-05</v>
      </c>
      <c r="J1064">
        <v>0.0001127</v>
      </c>
    </row>
    <row r="1065" spans="1:10">
      <c r="A1065">
        <f>HYPERLINK("https://mega.nz/file/GEtUFbKb#JnVHQtu8nlc1H5k6K6r0lTn2KgdZ3M8qzaWlTpPj4kU", "Recurrence of Bear Restoration Symbolism")</f>
        <v>0</v>
      </c>
      <c r="B1065" t="s">
        <v>320</v>
      </c>
      <c r="C1065" t="s">
        <v>1518</v>
      </c>
      <c r="D1065" t="s">
        <v>2844</v>
      </c>
      <c r="E1065" t="s">
        <v>3117</v>
      </c>
      <c r="F1065" t="s">
        <v>3131</v>
      </c>
      <c r="G1065" s="2" t="s">
        <v>4195</v>
      </c>
      <c r="H1065">
        <v>7.21E-05</v>
      </c>
      <c r="I1065">
        <v>5.39E-05</v>
      </c>
      <c r="J1065">
        <v>0.000126</v>
      </c>
    </row>
    <row r="1066" spans="1:10">
      <c r="A1066">
        <f>HYPERLINK("https://mega.nz/file/CcUBQaaL#vGEGQt4PkPKKQcZk5BcRHhQbLzpJ09AKNqKCfVDCFl0", "Misterios Y Maravillas Del Rey Arturo Y Los Caballeros De La Mesa Redonda")</f>
        <v>0</v>
      </c>
      <c r="B1066" t="s">
        <v>321</v>
      </c>
      <c r="C1066" t="s">
        <v>1519</v>
      </c>
      <c r="D1066" t="s">
        <v>2845</v>
      </c>
      <c r="E1066" t="s">
        <v>3117</v>
      </c>
      <c r="F1066" t="s">
        <v>3130</v>
      </c>
      <c r="G1066" s="2" t="s">
        <v>4196</v>
      </c>
      <c r="H1066">
        <v>7.49E-05</v>
      </c>
      <c r="I1066">
        <v>6.615E-05</v>
      </c>
      <c r="J1066">
        <v>0.00014105</v>
      </c>
    </row>
    <row r="1067" spans="1:10">
      <c r="A1067">
        <f>HYPERLINK("https://mega.nz/file/yAFEmLZC#5ekRHjLhk9dG-HYWydJbKyC-Z6tVrQHlOb1h-uJqots", "La Serpiente")</f>
        <v>0</v>
      </c>
      <c r="B1067" t="s">
        <v>322</v>
      </c>
      <c r="C1067" t="s">
        <v>1520</v>
      </c>
      <c r="D1067" t="s">
        <v>2846</v>
      </c>
      <c r="E1067" t="s">
        <v>3117</v>
      </c>
      <c r="F1067" t="s">
        <v>3130</v>
      </c>
      <c r="G1067" s="2" t="s">
        <v>4197</v>
      </c>
      <c r="H1067">
        <v>6.055E-05</v>
      </c>
      <c r="I1067">
        <v>5.88E-05</v>
      </c>
      <c r="J1067">
        <v>0.00011935</v>
      </c>
    </row>
    <row r="1068" spans="1:10">
      <c r="A1068">
        <f>HYPERLINK("https://mega.nz/file/fBURmRaQ#ar8h5rm_u8m8cBuV_g8vphtrY2EsnVcRsJZq8fozz4Y", "Patanjali y el Yoga")</f>
        <v>0</v>
      </c>
      <c r="B1068" t="s">
        <v>322</v>
      </c>
      <c r="C1068" t="s">
        <v>1521</v>
      </c>
      <c r="D1068" t="s">
        <v>2847</v>
      </c>
      <c r="E1068" t="s">
        <v>3119</v>
      </c>
      <c r="F1068" t="s">
        <v>3130</v>
      </c>
      <c r="G1068" s="2" t="s">
        <v>4198</v>
      </c>
      <c r="H1068">
        <v>6.405E-05</v>
      </c>
      <c r="I1068">
        <v>5.495E-05</v>
      </c>
      <c r="J1068">
        <v>0.000119</v>
      </c>
    </row>
    <row r="1069" spans="1:10">
      <c r="A1069">
        <f>HYPERLINK("https://mega.nz/file/mFl02YSa#BEr4CmVf73NUrPu7FgwwtEzY1m9b9duQzH1G8sGDylo", "Tecnicas del Yoga")</f>
        <v>0</v>
      </c>
      <c r="B1069" t="s">
        <v>322</v>
      </c>
      <c r="C1069" t="s">
        <v>1522</v>
      </c>
      <c r="D1069" t="s">
        <v>2848</v>
      </c>
      <c r="E1069" t="s">
        <v>3119</v>
      </c>
      <c r="F1069" t="s">
        <v>3130</v>
      </c>
      <c r="G1069" s="2" t="s">
        <v>4199</v>
      </c>
      <c r="H1069">
        <v>6.265E-05</v>
      </c>
      <c r="I1069">
        <v>5.74E-05</v>
      </c>
      <c r="J1069">
        <v>0.00012005</v>
      </c>
    </row>
    <row r="1070" spans="1:10">
      <c r="A1070">
        <f>HYPERLINK("https://mega.nz/file/PJcBgJrY#gUb15F370wU_4PSOBFnAzaFQ9dKEsh3LmnU1aaxEZBU", "Libro Bruja Moderna")</f>
        <v>0</v>
      </c>
      <c r="B1070" t="s">
        <v>323</v>
      </c>
      <c r="C1070" t="s">
        <v>1523</v>
      </c>
      <c r="D1070" t="s">
        <v>2849</v>
      </c>
      <c r="E1070" t="s">
        <v>3123</v>
      </c>
      <c r="F1070" t="s">
        <v>3130</v>
      </c>
      <c r="G1070" s="2" t="s">
        <v>4200</v>
      </c>
      <c r="H1070">
        <v>6.160000000000001E-05</v>
      </c>
      <c r="I1070">
        <v>5.46E-05</v>
      </c>
      <c r="J1070">
        <v>0.0001162</v>
      </c>
    </row>
    <row r="1071" spans="1:10">
      <c r="A1071">
        <f>HYPERLINK("https://mega.nz/file/DF92EQSa#3LI7HmRTjusIlGB7kIo88R1lihn3CrOgVb1E2sgyMxM", "El Golem")</f>
        <v>0</v>
      </c>
      <c r="B1071" t="s">
        <v>324</v>
      </c>
      <c r="C1071" t="s">
        <v>1524</v>
      </c>
      <c r="D1071" t="s">
        <v>2850</v>
      </c>
      <c r="E1071" t="s">
        <v>3117</v>
      </c>
      <c r="F1071" t="s">
        <v>3130</v>
      </c>
      <c r="G1071" s="2" t="s">
        <v>4201</v>
      </c>
      <c r="H1071">
        <v>5.985E-05</v>
      </c>
      <c r="I1071">
        <v>6.3E-05</v>
      </c>
      <c r="J1071">
        <v>0.00012285</v>
      </c>
    </row>
    <row r="1072" spans="1:10">
      <c r="A1072">
        <f>HYPERLINK("https://mega.nz/file/ec9liABS#r9EbTySQfu7G37KsoM3x4Kyu-ifd8BAZRd09P3j0DqY", "Witch Cult in Western Europe")</f>
        <v>0</v>
      </c>
      <c r="B1072" t="s">
        <v>325</v>
      </c>
      <c r="C1072" t="s">
        <v>1525</v>
      </c>
      <c r="D1072" t="s">
        <v>2851</v>
      </c>
      <c r="E1072" t="s">
        <v>3117</v>
      </c>
      <c r="F1072" t="s">
        <v>3131</v>
      </c>
      <c r="G1072" s="2" t="s">
        <v>4202</v>
      </c>
      <c r="H1072">
        <v>5.425E-05</v>
      </c>
      <c r="I1072">
        <v>4.48E-05</v>
      </c>
      <c r="J1072">
        <v>9.905E-05</v>
      </c>
    </row>
    <row r="1073" spans="1:10">
      <c r="A1073">
        <f>HYPERLINK("https://mega.nz/file/nYchkIzK#zSOYKlihsn5CnnfFppsCBeUogIXSLZ3SfI9Ksn2pBco", "Enuma Elish")</f>
        <v>0</v>
      </c>
      <c r="B1073" t="s">
        <v>326</v>
      </c>
      <c r="C1073" t="s">
        <v>1526</v>
      </c>
      <c r="D1073" t="s">
        <v>2852</v>
      </c>
      <c r="E1073" t="s">
        <v>3117</v>
      </c>
      <c r="F1073" t="s">
        <v>3131</v>
      </c>
      <c r="G1073" s="2" t="s">
        <v>4203</v>
      </c>
      <c r="H1073">
        <v>6.265E-05</v>
      </c>
      <c r="I1073">
        <v>5.565E-05</v>
      </c>
      <c r="J1073">
        <v>0.0001183</v>
      </c>
    </row>
    <row r="1074" spans="1:10">
      <c r="A1074">
        <f>HYPERLINK("https://mega.nz/file/OcUjzBAR#ZmBepR5eMmm9t0Kz-Ls2JVhAT7SjkSc74ADDaRYZLtg", "Think And Grow Rich")</f>
        <v>0</v>
      </c>
      <c r="B1074" t="s">
        <v>327</v>
      </c>
      <c r="C1074" t="s">
        <v>1527</v>
      </c>
      <c r="D1074" t="s">
        <v>2853</v>
      </c>
      <c r="E1074" t="s">
        <v>3117</v>
      </c>
      <c r="F1074" t="s">
        <v>3131</v>
      </c>
      <c r="G1074" s="2" t="s">
        <v>4204</v>
      </c>
      <c r="H1074">
        <v>5.845E-05</v>
      </c>
      <c r="I1074">
        <v>5.215E-05</v>
      </c>
      <c r="J1074">
        <v>0.0001106</v>
      </c>
    </row>
    <row r="1075" spans="1:10">
      <c r="A1075">
        <f>HYPERLINK("https://mega.nz/file/TRMnTDyB#8RQaa1eIrBD320l0GiQig5CI_pR1nRrlvep7WfMl8SU", "Ararat Enigmatico")</f>
        <v>0</v>
      </c>
      <c r="B1075" t="s">
        <v>328</v>
      </c>
      <c r="C1075" t="s">
        <v>1528</v>
      </c>
      <c r="D1075" t="s">
        <v>2854</v>
      </c>
      <c r="E1075" t="s">
        <v>3117</v>
      </c>
      <c r="F1075" t="s">
        <v>3131</v>
      </c>
      <c r="G1075" s="2" t="s">
        <v>4205</v>
      </c>
      <c r="H1075">
        <v>7.07E-05</v>
      </c>
      <c r="I1075">
        <v>6.405E-05</v>
      </c>
      <c r="J1075">
        <v>0.00013475</v>
      </c>
    </row>
    <row r="1076" spans="1:10">
      <c r="A1076">
        <f>HYPERLINK("https://mega.nz/file/WZ02zaQR#_QPyxkTCD2vbd6eTX5p1WPO12XlevCWYpKm2vCOR_-g", "Grandes Enigmas De La Humanidad - El Primer Humano")</f>
        <v>0</v>
      </c>
      <c r="B1076" t="s">
        <v>329</v>
      </c>
      <c r="C1076" t="s">
        <v>1529</v>
      </c>
      <c r="D1076" t="s">
        <v>2855</v>
      </c>
      <c r="E1076" t="s">
        <v>3117</v>
      </c>
      <c r="F1076" t="s">
        <v>3130</v>
      </c>
      <c r="G1076" s="2" t="s">
        <v>4206</v>
      </c>
      <c r="H1076">
        <v>7.07E-05</v>
      </c>
      <c r="I1076">
        <v>5.88E-05</v>
      </c>
      <c r="J1076">
        <v>0.0001295</v>
      </c>
    </row>
    <row r="1077" spans="1:10">
      <c r="A1077">
        <f>HYPERLINK("https://mega.nz/file/SJdnxSqI#qJzkJzWNp8LPw8UyuV8cI6WGTLgBF6tr4A0wVqVIgA4", "Grandes Enigmas De La Humanidad - Los Experimentos Secretos De La Cia")</f>
        <v>0</v>
      </c>
      <c r="B1077" t="s">
        <v>329</v>
      </c>
      <c r="C1077" t="s">
        <v>1530</v>
      </c>
      <c r="D1077" t="s">
        <v>2856</v>
      </c>
      <c r="E1077" t="s">
        <v>3117</v>
      </c>
      <c r="F1077" t="s">
        <v>3130</v>
      </c>
      <c r="G1077" s="2" t="s">
        <v>4207</v>
      </c>
      <c r="H1077">
        <v>7.595E-05</v>
      </c>
      <c r="I1077">
        <v>5.495E-05</v>
      </c>
      <c r="J1077">
        <v>0.0001309</v>
      </c>
    </row>
    <row r="1078" spans="1:10">
      <c r="A1078">
        <f>HYPERLINK("https://mega.nz/file/eI0GWARK#I2xqPzoz3DxqXv4DVZmRY5ELaKlpQpcqQIV1HnmOC7I", "Grandes Enigmas De La Humanidad - Los Hombres Que Volvieron De La Muerte")</f>
        <v>0</v>
      </c>
      <c r="B1078" t="s">
        <v>329</v>
      </c>
      <c r="C1078" t="s">
        <v>1531</v>
      </c>
      <c r="D1078" t="s">
        <v>2857</v>
      </c>
      <c r="E1078" t="s">
        <v>3117</v>
      </c>
      <c r="F1078" t="s">
        <v>3130</v>
      </c>
      <c r="G1078" s="2" t="s">
        <v>4208</v>
      </c>
      <c r="H1078">
        <v>7.805E-05</v>
      </c>
      <c r="I1078">
        <v>5.915E-05</v>
      </c>
      <c r="J1078">
        <v>0.0001372</v>
      </c>
    </row>
    <row r="1079" spans="1:10">
      <c r="A1079">
        <f>HYPERLINK("https://mega.nz/file/id1jVYzK#FUHxNzX9nBHxGd7UiKsyBmY7_y2Uk2vaAJvcdqVnnuI", "Grandes Enigmas De La Humanidad 02 - Roswel Y El Fenomeo Ovni")</f>
        <v>0</v>
      </c>
      <c r="B1079" t="s">
        <v>329</v>
      </c>
      <c r="C1079" t="s">
        <v>1532</v>
      </c>
      <c r="D1079" t="s">
        <v>2858</v>
      </c>
      <c r="E1079" t="s">
        <v>3117</v>
      </c>
      <c r="F1079" t="s">
        <v>3130</v>
      </c>
      <c r="G1079" s="2" t="s">
        <v>4209</v>
      </c>
      <c r="H1079">
        <v>7.805E-05</v>
      </c>
      <c r="I1079">
        <v>6.93E-05</v>
      </c>
      <c r="J1079">
        <v>0.00014735</v>
      </c>
    </row>
    <row r="1080" spans="1:10">
      <c r="A1080">
        <f>HYPERLINK("https://mega.nz/file/yAsVWKjR#upLSEtMAo9nk5xw7zUltWg1bqs2yE2syLiqZKu4XAeA", "Grandes Enigmas De La Humanidad 04 - El Triangulo De Las Bermudas")</f>
        <v>0</v>
      </c>
      <c r="B1080" t="s">
        <v>329</v>
      </c>
      <c r="C1080" t="s">
        <v>1533</v>
      </c>
      <c r="D1080" t="s">
        <v>2859</v>
      </c>
      <c r="E1080" t="s">
        <v>3117</v>
      </c>
      <c r="F1080" t="s">
        <v>3130</v>
      </c>
      <c r="G1080" s="2" t="s">
        <v>4210</v>
      </c>
      <c r="H1080">
        <v>7.595E-05</v>
      </c>
      <c r="I1080">
        <v>6.79E-05</v>
      </c>
      <c r="J1080">
        <v>0.00014385</v>
      </c>
    </row>
    <row r="1081" spans="1:10">
      <c r="A1081">
        <f>HYPERLINK("https://mega.nz/file/qYlCAbIK#MQFTLKCc9Zswg5FpaWe6kCpGUkjEOix8iuzAJe-iXZI", "Grandes Enigmas De La Humanidad 05 - El Caso De Jack El Destripador")</f>
        <v>0</v>
      </c>
      <c r="B1081" t="s">
        <v>329</v>
      </c>
      <c r="C1081" t="s">
        <v>1534</v>
      </c>
      <c r="D1081" t="s">
        <v>2860</v>
      </c>
      <c r="E1081" t="s">
        <v>3117</v>
      </c>
      <c r="F1081" t="s">
        <v>3130</v>
      </c>
      <c r="G1081" s="2" t="s">
        <v>4211</v>
      </c>
      <c r="H1081">
        <v>7.7E-05</v>
      </c>
      <c r="I1081">
        <v>6.685E-05</v>
      </c>
      <c r="J1081">
        <v>0.00014385</v>
      </c>
    </row>
    <row r="1082" spans="1:10">
      <c r="A1082">
        <f>HYPERLINK("https://mega.nz/file/LA1DAK7Q#9Vw2IptvQ9KQjT2VzZsKJEH6jdZaDX4h2kAwI0ryQ1g", "Grandes Enigmas De La Humanidad 07 - Rasputin Y Los Ultimos Dias Del Zar")</f>
        <v>0</v>
      </c>
      <c r="B1082" t="s">
        <v>329</v>
      </c>
      <c r="C1082" t="s">
        <v>1535</v>
      </c>
      <c r="D1082" t="s">
        <v>2861</v>
      </c>
      <c r="E1082" t="s">
        <v>3117</v>
      </c>
      <c r="F1082" t="s">
        <v>3130</v>
      </c>
      <c r="G1082" s="2" t="s">
        <v>4212</v>
      </c>
      <c r="H1082">
        <v>7.91E-05</v>
      </c>
      <c r="I1082">
        <v>6.265E-05</v>
      </c>
      <c r="J1082">
        <v>0.00014175</v>
      </c>
    </row>
    <row r="1083" spans="1:10">
      <c r="A1083">
        <f>HYPERLINK("https://mega.nz/file/mYtlgbKS#fe05SOkBKOXRy3dpbRaWCbcqpLlzQfMXYfJ-8_UAtbs", "Grandes Enigmas De La Humanidad 10 - Visitantes De La Antiguedad")</f>
        <v>0</v>
      </c>
      <c r="B1083" t="s">
        <v>329</v>
      </c>
      <c r="C1083" t="s">
        <v>1536</v>
      </c>
      <c r="D1083" t="s">
        <v>2862</v>
      </c>
      <c r="E1083" t="s">
        <v>3117</v>
      </c>
      <c r="F1083" t="s">
        <v>3130</v>
      </c>
      <c r="G1083" s="2" t="s">
        <v>4213</v>
      </c>
      <c r="H1083">
        <v>7.7E-05</v>
      </c>
      <c r="I1083">
        <v>6.195E-05</v>
      </c>
      <c r="J1083">
        <v>0.00013895</v>
      </c>
    </row>
    <row r="1084" spans="1:10">
      <c r="A1084">
        <f>HYPERLINK("https://mega.nz/file/WZU3ybZJ#zSrp9L2S21a3YUZmWbFOI3g7rHsksnY-sfCX0stSbuw", "Grandes Enigmas De La Humanidad 13 - La Vida Secreta De Jesus")</f>
        <v>0</v>
      </c>
      <c r="B1084" t="s">
        <v>329</v>
      </c>
      <c r="C1084" t="s">
        <v>1537</v>
      </c>
      <c r="D1084" t="s">
        <v>2863</v>
      </c>
      <c r="E1084" t="s">
        <v>3117</v>
      </c>
      <c r="F1084" t="s">
        <v>3130</v>
      </c>
      <c r="G1084" s="2" t="s">
        <v>4214</v>
      </c>
      <c r="H1084">
        <v>7.595E-05</v>
      </c>
      <c r="I1084">
        <v>6.65E-05</v>
      </c>
      <c r="J1084">
        <v>0.00014245</v>
      </c>
    </row>
    <row r="1085" spans="1:10">
      <c r="A1085">
        <f>HYPERLINK("https://mega.nz/file/fEUSQY7b#NjtAoVcBDg5qts2rZRv0Llb1KMcN-pCzf9KnAKbb2L8", "Grandes Enigmas De La Humanidad 14 - Las Ciudades Perdidas Del Amazonas")</f>
        <v>0</v>
      </c>
      <c r="B1085" t="s">
        <v>329</v>
      </c>
      <c r="C1085" t="s">
        <v>1538</v>
      </c>
      <c r="D1085" t="s">
        <v>2864</v>
      </c>
      <c r="E1085" t="s">
        <v>3117</v>
      </c>
      <c r="F1085" t="s">
        <v>3130</v>
      </c>
      <c r="G1085" s="2" t="s">
        <v>4215</v>
      </c>
      <c r="H1085">
        <v>7.595E-05</v>
      </c>
      <c r="I1085">
        <v>5.95E-05</v>
      </c>
      <c r="J1085">
        <v>0.00013545</v>
      </c>
    </row>
    <row r="1086" spans="1:10">
      <c r="A1086">
        <f>HYPERLINK("https://mega.nz/file/rM1wFBxB#_QiKUtIJeJ_XXFQWEPKsxf_2ESyEVvuEj2G3rvoI4rE", "Grandes Enigmas De La Humanidad 15 - La Muerte De Hitler")</f>
        <v>0</v>
      </c>
      <c r="B1086" t="s">
        <v>329</v>
      </c>
      <c r="C1086" t="s">
        <v>1539</v>
      </c>
      <c r="D1086" t="s">
        <v>2865</v>
      </c>
      <c r="E1086" t="s">
        <v>3117</v>
      </c>
      <c r="F1086" t="s">
        <v>3130</v>
      </c>
      <c r="G1086" s="2" t="s">
        <v>4216</v>
      </c>
      <c r="H1086">
        <v>7.385000000000001E-05</v>
      </c>
      <c r="I1086">
        <v>6.23E-05</v>
      </c>
      <c r="J1086">
        <v>0.00013615</v>
      </c>
    </row>
    <row r="1087" spans="1:10">
      <c r="A1087">
        <f>HYPERLINK("https://mega.nz/file/nNNzUQZD#F0_zmnv57fpaiAB-RFLwE2VoIcw0rAnZ5pSbdGiJgl0", "Grandes Enigmas De La Humanidad 16 - Barcos Fantasmas")</f>
        <v>0</v>
      </c>
      <c r="B1087" t="s">
        <v>329</v>
      </c>
      <c r="C1087" t="s">
        <v>1540</v>
      </c>
      <c r="D1087" t="s">
        <v>2866</v>
      </c>
      <c r="E1087" t="s">
        <v>3117</v>
      </c>
      <c r="F1087" t="s">
        <v>3130</v>
      </c>
      <c r="G1087" s="2" t="s">
        <v>4217</v>
      </c>
      <c r="H1087">
        <v>7.385000000000001E-05</v>
      </c>
      <c r="I1087">
        <v>6.719999999999999E-05</v>
      </c>
      <c r="J1087">
        <v>0.00014105</v>
      </c>
    </row>
    <row r="1088" spans="1:10">
      <c r="A1088">
        <f>HYPERLINK("https://mega.nz/file/bJ8j1ZTT#b-fuVm04eTFNLWPalCjsmB4jhIxX95LrQoViENw5NhI", "Grandes Enigmas De La Humanidad 17 - Mitos Del Antiguo Testamento")</f>
        <v>0</v>
      </c>
      <c r="B1088" t="s">
        <v>329</v>
      </c>
      <c r="C1088" t="s">
        <v>1541</v>
      </c>
      <c r="D1088" t="s">
        <v>2867</v>
      </c>
      <c r="E1088" t="s">
        <v>3117</v>
      </c>
      <c r="F1088" t="s">
        <v>3130</v>
      </c>
      <c r="G1088" s="2" t="s">
        <v>4218</v>
      </c>
      <c r="H1088">
        <v>7.595E-05</v>
      </c>
      <c r="I1088">
        <v>6.79E-05</v>
      </c>
      <c r="J1088">
        <v>0.00014385</v>
      </c>
    </row>
    <row r="1089" spans="1:10">
      <c r="A1089">
        <f>HYPERLINK("https://mega.nz/file/CYcy3Aha#a28Ysi7gDLDPxCCvX8tscD9uBacjw1gHz-7VIHrXUno", "Grandes Enigmas De La Humanidad 18 - Tumbas Antiguas")</f>
        <v>0</v>
      </c>
      <c r="B1089" t="s">
        <v>329</v>
      </c>
      <c r="C1089" t="s">
        <v>1542</v>
      </c>
      <c r="D1089" t="s">
        <v>2868</v>
      </c>
      <c r="E1089" t="s">
        <v>3117</v>
      </c>
      <c r="F1089" t="s">
        <v>3130</v>
      </c>
      <c r="G1089" s="2" t="s">
        <v>4219</v>
      </c>
      <c r="H1089">
        <v>7.49E-05</v>
      </c>
      <c r="I1089">
        <v>6.195E-05</v>
      </c>
      <c r="J1089">
        <v>0.00013685</v>
      </c>
    </row>
    <row r="1090" spans="1:10">
      <c r="A1090">
        <f>HYPERLINK("https://mega.nz/file/2RMEnLiK#gA3QLT2Abuz5YykwOLphQKzCX-O-wtOcvbvAN8h0H-w", "Grandes Enigmas De La Humanidad: Atlántida La Leyenda Del Continente Perdido")</f>
        <v>0</v>
      </c>
      <c r="B1090" t="s">
        <v>329</v>
      </c>
      <c r="C1090" t="s">
        <v>1543</v>
      </c>
      <c r="D1090" t="s">
        <v>2869</v>
      </c>
      <c r="E1090" t="s">
        <v>3117</v>
      </c>
      <c r="F1090" t="s">
        <v>3130</v>
      </c>
      <c r="G1090" s="2" t="s">
        <v>4220</v>
      </c>
      <c r="H1090">
        <v>7.805E-05</v>
      </c>
      <c r="I1090">
        <v>5.845E-05</v>
      </c>
      <c r="J1090">
        <v>0.0001365</v>
      </c>
    </row>
    <row r="1091" spans="1:10">
      <c r="A1091">
        <f>HYPERLINK("https://mega.nz/file/nV0QkB7A#zNqavVqWcjJ5h5mnqnkoG9OOB6m4mKDHRrHoy1UUzEc", "Grandes Enigmas De La Humanidad: Los Secretos De Los Faraones")</f>
        <v>0</v>
      </c>
      <c r="B1091" t="s">
        <v>329</v>
      </c>
      <c r="C1091" t="s">
        <v>1544</v>
      </c>
      <c r="D1091" t="s">
        <v>2870</v>
      </c>
      <c r="E1091" t="s">
        <v>3117</v>
      </c>
      <c r="F1091" t="s">
        <v>3130</v>
      </c>
      <c r="G1091" s="2" t="s">
        <v>4221</v>
      </c>
      <c r="H1091">
        <v>7.49E-05</v>
      </c>
      <c r="I1091">
        <v>6.160000000000001E-05</v>
      </c>
      <c r="J1091">
        <v>0.0001365</v>
      </c>
    </row>
    <row r="1092" spans="1:10">
      <c r="A1092">
        <f>HYPERLINK("https://mega.nz/file/7Z0zUAzC#qf6CsCiT-Tz4uFhe9_FITYyHY4ApPee5zGPEy5Zau4Y", "La Vida En Marte Y En Otros Planetas")</f>
        <v>0</v>
      </c>
      <c r="B1092" t="s">
        <v>329</v>
      </c>
      <c r="C1092" t="s">
        <v>1545</v>
      </c>
      <c r="D1092" t="s">
        <v>2871</v>
      </c>
      <c r="E1092" t="s">
        <v>3117</v>
      </c>
      <c r="F1092" t="s">
        <v>3130</v>
      </c>
      <c r="G1092" s="2" t="s">
        <v>4222</v>
      </c>
      <c r="H1092">
        <v>6.895E-05</v>
      </c>
      <c r="I1092">
        <v>6.405E-05</v>
      </c>
      <c r="J1092">
        <v>0.000133</v>
      </c>
    </row>
    <row r="1093" spans="1:10">
      <c r="A1093">
        <f>HYPERLINK("https://mega.nz/file/3Z0TASgA#pri5VzJ_419f2ORi3rhp_hQVfBkrzQIK9U5y4FQhRaY", "Los Milagros En El Mundo Moderno")</f>
        <v>0</v>
      </c>
      <c r="B1093" t="s">
        <v>329</v>
      </c>
      <c r="C1093" t="s">
        <v>1546</v>
      </c>
      <c r="D1093" t="s">
        <v>2872</v>
      </c>
      <c r="E1093" t="s">
        <v>3117</v>
      </c>
      <c r="F1093" t="s">
        <v>3130</v>
      </c>
      <c r="G1093" s="2" t="s">
        <v>4223</v>
      </c>
      <c r="H1093">
        <v>6.79E-05</v>
      </c>
      <c r="I1093">
        <v>5.81E-05</v>
      </c>
      <c r="J1093">
        <v>0.000126</v>
      </c>
    </row>
    <row r="1094" spans="1:10">
      <c r="A1094">
        <f>HYPERLINK("https://mega.nz/file/ndER2IpJ#kYdv0FuhhXslqWdaXRPBeKE_tpMVedoXssQp_Y5Spr8", "Los Misterios De La Segunda Guerra Mundial")</f>
        <v>0</v>
      </c>
      <c r="B1094" t="s">
        <v>329</v>
      </c>
      <c r="C1094" t="s">
        <v>1547</v>
      </c>
      <c r="D1094" t="s">
        <v>2873</v>
      </c>
      <c r="E1094" t="s">
        <v>3117</v>
      </c>
      <c r="F1094" t="s">
        <v>3130</v>
      </c>
      <c r="G1094" s="2" t="s">
        <v>4224</v>
      </c>
      <c r="H1094">
        <v>6.79E-05</v>
      </c>
      <c r="I1094">
        <v>6.02E-05</v>
      </c>
      <c r="J1094">
        <v>0.0001281</v>
      </c>
    </row>
    <row r="1095" spans="1:10">
      <c r="A1095">
        <f>HYPERLINK("https://mega.nz/file/qAFSxRBT#P5wxntmq9mHyhyKExdvBleaIEBLhFmKg8dHeK3N_EiU", "Vlad Draculea El Autentico Dracula")</f>
        <v>0</v>
      </c>
      <c r="B1095" t="s">
        <v>329</v>
      </c>
      <c r="C1095" t="s">
        <v>1548</v>
      </c>
      <c r="D1095" t="s">
        <v>2874</v>
      </c>
      <c r="E1095" t="s">
        <v>3117</v>
      </c>
      <c r="F1095" t="s">
        <v>3130</v>
      </c>
      <c r="G1095" s="2" t="s">
        <v>4225</v>
      </c>
      <c r="H1095">
        <v>6.999999999999999E-05</v>
      </c>
      <c r="I1095">
        <v>5.6E-05</v>
      </c>
      <c r="J1095">
        <v>0.000126</v>
      </c>
    </row>
    <row r="1096" spans="1:10">
      <c r="A1096">
        <f>HYPERLINK("https://mega.nz/file/LZ9HkI4R#9N_KZp1uX-_VCIQ7xfN4KxRELR2W5-9xRF9YhZZJZE0", "Chemtrails Rastros Mortales en el Cielo")</f>
        <v>0</v>
      </c>
      <c r="B1096" t="s">
        <v>330</v>
      </c>
      <c r="C1096" t="s">
        <v>1549</v>
      </c>
      <c r="D1096" t="s">
        <v>2875</v>
      </c>
      <c r="E1096" t="s">
        <v>3117</v>
      </c>
      <c r="F1096" t="s">
        <v>3130</v>
      </c>
      <c r="G1096" s="2" t="s">
        <v>4226</v>
      </c>
      <c r="H1096">
        <v>6.545000000000001E-05</v>
      </c>
      <c r="I1096">
        <v>5.95E-05</v>
      </c>
      <c r="J1096">
        <v>0.00012495</v>
      </c>
    </row>
    <row r="1097" spans="1:10">
      <c r="A1097">
        <f>HYPERLINK("https://mega.nz/file/SIUnHTxI#ex14pdHfFv2DvzbBmmJGa9Omb2cFsSdE3HUuLFZiJps", "Chemtrails Rastros Mortales En El Cielo")</f>
        <v>0</v>
      </c>
      <c r="B1097" t="s">
        <v>331</v>
      </c>
      <c r="C1097" t="s">
        <v>1550</v>
      </c>
      <c r="D1097" t="s">
        <v>2876</v>
      </c>
      <c r="E1097" t="s">
        <v>3117</v>
      </c>
      <c r="F1097" t="s">
        <v>3130</v>
      </c>
      <c r="G1097" s="2" t="s">
        <v>4227</v>
      </c>
      <c r="H1097">
        <v>6.79E-05</v>
      </c>
      <c r="I1097">
        <v>6.3E-05</v>
      </c>
      <c r="J1097">
        <v>0.0001309</v>
      </c>
    </row>
    <row r="1098" spans="1:10">
      <c r="A1098">
        <f>HYPERLINK("https://mega.nz/file/DdsVXZLL#n3vXNUNHwXUW4DHR38q7WGRcaZ8xQJvAL7UCSy7FJTA", "Misterios De La Biblia - Una Interpretacion Sorprendente")</f>
        <v>0</v>
      </c>
      <c r="B1098" t="s">
        <v>332</v>
      </c>
      <c r="C1098" t="s">
        <v>1551</v>
      </c>
      <c r="D1098" t="s">
        <v>2877</v>
      </c>
      <c r="E1098" t="s">
        <v>3117</v>
      </c>
      <c r="F1098" t="s">
        <v>3130</v>
      </c>
      <c r="G1098" s="2" t="s">
        <v>4228</v>
      </c>
      <c r="H1098">
        <v>7.175E-05</v>
      </c>
      <c r="I1098">
        <v>6.160000000000001E-05</v>
      </c>
      <c r="J1098">
        <v>0.00013335</v>
      </c>
    </row>
    <row r="1099" spans="1:10">
      <c r="A1099">
        <f>HYPERLINK("https://mega.nz/file/iMs0gJIT#WFYIzvOmEdrL8OjNVKz9-CI9YcXJtombwEwf7wK05sg", "Yo y La Energia")</f>
        <v>0</v>
      </c>
      <c r="B1099" t="s">
        <v>333</v>
      </c>
      <c r="C1099" t="s">
        <v>1552</v>
      </c>
      <c r="D1099" t="s">
        <v>2878</v>
      </c>
      <c r="E1099" t="s">
        <v>3117</v>
      </c>
      <c r="F1099" t="s">
        <v>3130</v>
      </c>
      <c r="G1099" s="2" t="s">
        <v>4229</v>
      </c>
      <c r="H1099">
        <v>5.95E-05</v>
      </c>
      <c r="I1099">
        <v>5.74E-05</v>
      </c>
      <c r="J1099">
        <v>0.0001169</v>
      </c>
    </row>
    <row r="1100" spans="1:10">
      <c r="A1100">
        <f>HYPERLINK("https://mega.nz/file/3E1zWA5J#Fw3d0NapWwW0AV_x14-RpKKEXJ2vmJzTGalxieRsFtU", "Prophecies")</f>
        <v>0</v>
      </c>
      <c r="B1100" t="s">
        <v>334</v>
      </c>
      <c r="C1100" t="s">
        <v>1553</v>
      </c>
      <c r="D1100" t="s">
        <v>2879</v>
      </c>
      <c r="E1100" t="s">
        <v>3117</v>
      </c>
      <c r="F1100" t="s">
        <v>3131</v>
      </c>
      <c r="G1100" s="2" t="s">
        <v>4230</v>
      </c>
      <c r="H1100">
        <v>5.95E-05</v>
      </c>
      <c r="I1100">
        <v>5.88E-05</v>
      </c>
      <c r="J1100">
        <v>0.0001183</v>
      </c>
    </row>
    <row r="1101" spans="1:10">
      <c r="A1101">
        <f>HYPERLINK("https://mega.nz/file/3J13yB4D#UwS4D5CNznVh4qOCbprzHNI9gBuUqL0-DmhQbDo5p5U", "Encyclopedia of Ancient and Forbidden Secrets")</f>
        <v>0</v>
      </c>
      <c r="B1101" t="s">
        <v>335</v>
      </c>
      <c r="C1101" t="s">
        <v>1554</v>
      </c>
      <c r="D1101" t="s">
        <v>2880</v>
      </c>
      <c r="E1101" t="s">
        <v>3117</v>
      </c>
      <c r="F1101" t="s">
        <v>3131</v>
      </c>
      <c r="G1101" s="2" t="s">
        <v>4231</v>
      </c>
      <c r="H1101">
        <v>6.055E-05</v>
      </c>
      <c r="I1101">
        <v>5.005E-05</v>
      </c>
      <c r="J1101">
        <v>0.0001106</v>
      </c>
    </row>
    <row r="1102" spans="1:10">
      <c r="A1102">
        <f>HYPERLINK("https://mega.nz/file/fJFCHJDQ#BQAw3q6QsFHjCLeU0RklqgXSXZZdEgPx9rD_qM5cp3E", "El Misterio del Culto Cristiano")</f>
        <v>0</v>
      </c>
      <c r="B1102" t="s">
        <v>336</v>
      </c>
      <c r="C1102" t="s">
        <v>1555</v>
      </c>
      <c r="D1102" t="s">
        <v>2881</v>
      </c>
      <c r="E1102" t="s">
        <v>3117</v>
      </c>
      <c r="F1102" t="s">
        <v>3130</v>
      </c>
      <c r="G1102" s="2" t="s">
        <v>4232</v>
      </c>
      <c r="H1102">
        <v>6.755E-05</v>
      </c>
      <c r="I1102">
        <v>6.09E-05</v>
      </c>
      <c r="J1102">
        <v>0.00012845</v>
      </c>
    </row>
    <row r="1103" spans="1:10">
      <c r="A1103">
        <f>HYPERLINK("https://mega.nz/file/Dck1ULYa#vK9b6x65x7emIY4DSA3azjeKcuG226ojHk2UDv3zgvM", "El adulterio")</f>
        <v>0</v>
      </c>
      <c r="B1103" t="s">
        <v>337</v>
      </c>
      <c r="C1103" t="s">
        <v>1556</v>
      </c>
      <c r="D1103" t="s">
        <v>2882</v>
      </c>
      <c r="E1103" t="s">
        <v>3117</v>
      </c>
      <c r="F1103" t="s">
        <v>3130</v>
      </c>
      <c r="G1103" s="2" t="s">
        <v>4233</v>
      </c>
      <c r="H1103">
        <v>6.160000000000001E-05</v>
      </c>
      <c r="I1103">
        <v>5.845E-05</v>
      </c>
      <c r="J1103">
        <v>0.00012005</v>
      </c>
    </row>
    <row r="1104" spans="1:10">
      <c r="A1104">
        <f>HYPERLINK("https://mega.nz/file/LAUVCRSJ#6EUBHcYJ6MoXBSQLY8hn1rNyDQf4RB-RiPeG0GoLj1U", "El Aire y la Armonia")</f>
        <v>0</v>
      </c>
      <c r="B1104" t="s">
        <v>337</v>
      </c>
      <c r="C1104" t="s">
        <v>1557</v>
      </c>
      <c r="D1104" t="s">
        <v>2883</v>
      </c>
      <c r="E1104" t="s">
        <v>3117</v>
      </c>
      <c r="F1104" t="s">
        <v>3130</v>
      </c>
      <c r="G1104" s="2" t="s">
        <v>4234</v>
      </c>
      <c r="H1104">
        <v>6.545000000000001E-05</v>
      </c>
      <c r="I1104">
        <v>5.39E-05</v>
      </c>
      <c r="J1104">
        <v>0.00011935</v>
      </c>
    </row>
    <row r="1105" spans="1:10">
      <c r="A1105">
        <f>HYPERLINK("https://mega.nz/file/yJNDHZjI#4K1jxMW-vFLrgFj1HKUKuVYQ_e-4dmXfYmeW083NvwA", "El Poder de la Respiracion")</f>
        <v>0</v>
      </c>
      <c r="B1105" t="s">
        <v>337</v>
      </c>
      <c r="C1105" t="s">
        <v>1558</v>
      </c>
      <c r="D1105" t="s">
        <v>2884</v>
      </c>
      <c r="E1105" t="s">
        <v>3117</v>
      </c>
      <c r="F1105" t="s">
        <v>3130</v>
      </c>
      <c r="G1105" s="2" t="s">
        <v>4235</v>
      </c>
      <c r="H1105">
        <v>6.615E-05</v>
      </c>
      <c r="I1105">
        <v>5.53E-05</v>
      </c>
      <c r="J1105">
        <v>0.00012145</v>
      </c>
    </row>
    <row r="1106" spans="1:10">
      <c r="A1106">
        <f>HYPERLINK("https://mega.nz/file/fA8xEKJC#V1dP2G0a9sm6XSoYwFBpNqFn0G1cxIv1f06Vewv9BoM", "El Segundo Nacimiento")</f>
        <v>0</v>
      </c>
      <c r="B1106" t="s">
        <v>337</v>
      </c>
      <c r="C1106" t="s">
        <v>1559</v>
      </c>
      <c r="D1106" t="s">
        <v>2885</v>
      </c>
      <c r="E1106" t="s">
        <v>3117</v>
      </c>
      <c r="F1106" t="s">
        <v>3130</v>
      </c>
      <c r="G1106" s="2" t="s">
        <v>4236</v>
      </c>
      <c r="H1106">
        <v>6.3E-05</v>
      </c>
      <c r="I1106">
        <v>5.74E-05</v>
      </c>
      <c r="J1106">
        <v>0.0001204</v>
      </c>
    </row>
    <row r="1107" spans="1:10">
      <c r="A1107">
        <f>HYPERLINK("https://mega.nz/file/ncFCnDjb#FmOsLvvzv9P9LXpGmdNsDMhVUxPsZSGz-9WWW9oGHXY", "La Iglesia, sus formas y el Diablo")</f>
        <v>0</v>
      </c>
      <c r="B1107" t="s">
        <v>337</v>
      </c>
      <c r="C1107" t="s">
        <v>1560</v>
      </c>
      <c r="D1107" t="s">
        <v>2886</v>
      </c>
      <c r="E1107" t="s">
        <v>3117</v>
      </c>
      <c r="F1107" t="s">
        <v>3130</v>
      </c>
      <c r="G1107" s="2" t="s">
        <v>4237</v>
      </c>
      <c r="H1107">
        <v>6.86E-05</v>
      </c>
      <c r="I1107">
        <v>6.79E-05</v>
      </c>
      <c r="J1107">
        <v>0.0001365</v>
      </c>
    </row>
    <row r="1108" spans="1:10">
      <c r="A1108">
        <f>HYPERLINK("https://mega.nz/file/zI8nnSpQ#oJ0k3k-D5R0TkWDSikDJvuOAxVIW1b8alEIXnkn9gkA", "Personalidad e Individualidad: Clave Esencial para el Desarrollo y Evolución del Ser")</f>
        <v>0</v>
      </c>
      <c r="B1108" t="s">
        <v>337</v>
      </c>
      <c r="C1108" t="s">
        <v>1561</v>
      </c>
      <c r="D1108" t="s">
        <v>2887</v>
      </c>
      <c r="E1108" t="s">
        <v>3117</v>
      </c>
      <c r="F1108" t="s">
        <v>3130</v>
      </c>
      <c r="G1108" s="2" t="s">
        <v>4238</v>
      </c>
      <c r="H1108">
        <v>8.12E-05</v>
      </c>
      <c r="I1108">
        <v>6.23E-05</v>
      </c>
      <c r="J1108">
        <v>0.0001435</v>
      </c>
    </row>
    <row r="1109" spans="1:10">
      <c r="A1109">
        <f>HYPERLINK("https://mega.nz/file/fU8DWCyC#i3BfzYAutacrFaL_iKETBNLmjPV33Kqp8Iv4Bu4kl-k", "Sois Dioses")</f>
        <v>0</v>
      </c>
      <c r="B1109" t="s">
        <v>337</v>
      </c>
      <c r="C1109" t="s">
        <v>1562</v>
      </c>
      <c r="D1109" t="s">
        <v>2888</v>
      </c>
      <c r="E1109" t="s">
        <v>3117</v>
      </c>
      <c r="F1109" t="s">
        <v>3131</v>
      </c>
      <c r="G1109" s="2" t="s">
        <v>4239</v>
      </c>
      <c r="H1109">
        <v>6.23E-05</v>
      </c>
      <c r="I1109">
        <v>5.18E-05</v>
      </c>
      <c r="J1109">
        <v>0.0001141</v>
      </c>
    </row>
    <row r="1110" spans="1:10">
      <c r="A1110">
        <f>HYPERLINK("https://mega.nz/file/aF8FWSjB#-iMMLPlYCw9I1vmo7MfL-XQGgoslQ9WQO2DNNhn6zq8", "El Trabajo Alquimico")</f>
        <v>0</v>
      </c>
      <c r="B1110" t="s">
        <v>338</v>
      </c>
      <c r="C1110" t="s">
        <v>1563</v>
      </c>
      <c r="D1110" t="s">
        <v>2889</v>
      </c>
      <c r="E1110" t="s">
        <v>3117</v>
      </c>
      <c r="F1110" t="s">
        <v>3130</v>
      </c>
      <c r="G1110" s="2" t="s">
        <v>4240</v>
      </c>
      <c r="H1110">
        <v>6.999999999999999E-05</v>
      </c>
      <c r="I1110">
        <v>6.65E-05</v>
      </c>
      <c r="J1110">
        <v>0.0001365</v>
      </c>
    </row>
    <row r="1111" spans="1:10">
      <c r="A1111">
        <f>HYPERLINK("https://mega.nz/file/XAtATLzJ#AlIpypTJ9aMHtDd4rdAB1Wm7Qkv83CCojAa4SHsyu7Y", "Galvanoplastia Espiritual")</f>
        <v>0</v>
      </c>
      <c r="B1111" t="s">
        <v>338</v>
      </c>
      <c r="C1111" t="s">
        <v>1564</v>
      </c>
      <c r="D1111" t="s">
        <v>2890</v>
      </c>
      <c r="E1111" t="s">
        <v>3117</v>
      </c>
      <c r="F1111" t="s">
        <v>3131</v>
      </c>
      <c r="G1111" s="2" t="s">
        <v>4241</v>
      </c>
      <c r="H1111">
        <v>6.965E-05</v>
      </c>
      <c r="I1111">
        <v>6.02E-05</v>
      </c>
      <c r="J1111">
        <v>0.00012985</v>
      </c>
    </row>
    <row r="1112" spans="1:10">
      <c r="A1112">
        <f>HYPERLINK("https://mega.nz/file/KYNl1Dxa#H45pEQgaPAt7kZy5SV3AKMpny_tp7LWKaaipCDPOqUQ", "Los Dos Arboles Del Paraiso")</f>
        <v>0</v>
      </c>
      <c r="B1112" t="s">
        <v>338</v>
      </c>
      <c r="C1112" t="s">
        <v>1565</v>
      </c>
      <c r="D1112" t="s">
        <v>2891</v>
      </c>
      <c r="E1112" t="s">
        <v>3117</v>
      </c>
      <c r="F1112" t="s">
        <v>3130</v>
      </c>
      <c r="G1112" s="2" t="s">
        <v>4242</v>
      </c>
      <c r="H1112">
        <v>7.279999999999999E-05</v>
      </c>
      <c r="I1112">
        <v>6.719999999999999E-05</v>
      </c>
      <c r="J1112">
        <v>0.00014</v>
      </c>
    </row>
    <row r="1113" spans="1:10">
      <c r="A1113">
        <f>HYPERLINK("https://mega.nz/file/vc9hEIJa#QbFgFEX9Q5tyUOfSxk7cjxrTWTAhnPz71cZOISAdjBQ", "Poderes de La Vida")</f>
        <v>0</v>
      </c>
      <c r="B1113" t="s">
        <v>338</v>
      </c>
      <c r="C1113" t="s">
        <v>1566</v>
      </c>
      <c r="D1113" t="s">
        <v>2892</v>
      </c>
      <c r="E1113" t="s">
        <v>3117</v>
      </c>
      <c r="F1113" t="s">
        <v>3130</v>
      </c>
      <c r="G1113" s="2" t="s">
        <v>4243</v>
      </c>
      <c r="H1113">
        <v>6.965E-05</v>
      </c>
      <c r="I1113">
        <v>7.07E-05</v>
      </c>
      <c r="J1113">
        <v>0.00014035</v>
      </c>
    </row>
    <row r="1114" spans="1:10">
      <c r="A1114">
        <f>HYPERLINK("https://mega.nz/file/Ld9AWbQL#lnmm5oux9er_6cuqEyF0F5XsfJR7-XXZIGMGHqHI818", "Tratado De Ateologia")</f>
        <v>0</v>
      </c>
      <c r="B1114" t="s">
        <v>339</v>
      </c>
      <c r="C1114" t="s">
        <v>1567</v>
      </c>
      <c r="D1114" t="s">
        <v>2893</v>
      </c>
      <c r="E1114" t="s">
        <v>3117</v>
      </c>
      <c r="F1114" t="s">
        <v>3130</v>
      </c>
      <c r="G1114" s="2" t="s">
        <v>4244</v>
      </c>
      <c r="H1114">
        <v>6.37E-05</v>
      </c>
      <c r="I1114">
        <v>6.58E-05</v>
      </c>
      <c r="J1114">
        <v>0.0001295</v>
      </c>
    </row>
    <row r="1115" spans="1:10">
      <c r="A1115">
        <f>HYPERLINK("https://mega.nz/file/DJcF0LTR#wAymv8jzJ0IolsS9v0-iWxcDKfgI102Q__YpJj4XkXI", "Arte Y Practica Visualizacion Creativa")</f>
        <v>0</v>
      </c>
      <c r="B1115" t="s">
        <v>340</v>
      </c>
      <c r="C1115" t="s">
        <v>1568</v>
      </c>
      <c r="D1115" t="s">
        <v>2894</v>
      </c>
      <c r="E1115" t="s">
        <v>3117</v>
      </c>
      <c r="F1115" t="s">
        <v>3130</v>
      </c>
      <c r="G1115" s="2" t="s">
        <v>4245</v>
      </c>
      <c r="H1115">
        <v>6.37E-05</v>
      </c>
      <c r="I1115">
        <v>5.74E-05</v>
      </c>
      <c r="J1115">
        <v>0.0001211</v>
      </c>
    </row>
    <row r="1116" spans="1:10">
      <c r="A1116">
        <f>HYPERLINK("https://mega.nz/file/CNsC3boL#ji-BnXSVLGNNpk1e_kTDvo7ue5mxD3DbrpC-zrHfHMY", "MONOGRAFIA")</f>
        <v>0</v>
      </c>
      <c r="B1116" t="s">
        <v>341</v>
      </c>
      <c r="C1116" t="s">
        <v>1569</v>
      </c>
      <c r="D1116" t="s">
        <v>2895</v>
      </c>
      <c r="E1116" t="s">
        <v>3117</v>
      </c>
      <c r="F1116" t="s">
        <v>3131</v>
      </c>
      <c r="G1116" s="2" t="s">
        <v>4246</v>
      </c>
      <c r="H1116">
        <v>7.035E-05</v>
      </c>
      <c r="I1116">
        <v>5.775E-05</v>
      </c>
      <c r="J1116">
        <v>0.0001281</v>
      </c>
    </row>
    <row r="1117" spans="1:10">
      <c r="A1117">
        <f>HYPERLINK("https://mega.nz/file/fAVDyTqC#dRjx_MdOUYkYJOPUhg0tl0uVwrZkQe2-ObXlEyOr-r8", "The Book Of Pleasure The Psychology Of Ecstasy")</f>
        <v>0</v>
      </c>
      <c r="B1117" t="s">
        <v>342</v>
      </c>
      <c r="C1117" t="s">
        <v>1570</v>
      </c>
      <c r="D1117" t="s">
        <v>2896</v>
      </c>
      <c r="E1117" t="s">
        <v>3117</v>
      </c>
      <c r="F1117" t="s">
        <v>3131</v>
      </c>
      <c r="G1117" s="2" t="s">
        <v>4247</v>
      </c>
      <c r="H1117">
        <v>6.475E-05</v>
      </c>
      <c r="I1117">
        <v>5.005E-05</v>
      </c>
      <c r="J1117">
        <v>0.0001148</v>
      </c>
    </row>
    <row r="1118" spans="1:10">
      <c r="A1118">
        <f>HYPERLINK("https://mega.nz/file/6Vs0RDIY#KtO_OYpAK7j-MITDNDCv3p5qvXHxBwPMwoZctiwoY84", "De La Naturaleza De Los Dioses")</f>
        <v>0</v>
      </c>
      <c r="B1118" t="s">
        <v>343</v>
      </c>
      <c r="C1118" t="s">
        <v>1571</v>
      </c>
      <c r="D1118" t="s">
        <v>2897</v>
      </c>
      <c r="E1118" t="s">
        <v>3117</v>
      </c>
      <c r="F1118" t="s">
        <v>3130</v>
      </c>
      <c r="G1118" s="2" t="s">
        <v>4248</v>
      </c>
      <c r="H1118">
        <v>6.265E-05</v>
      </c>
      <c r="I1118">
        <v>6.475E-05</v>
      </c>
      <c r="J1118">
        <v>0.0001274</v>
      </c>
    </row>
    <row r="1119" spans="1:10">
      <c r="A1119">
        <f>HYPERLINK("https://mega.nz/file/3YVkSSyZ#ZPMIQAuMr5TBzYz0Y2bHgMV4fjr3vTjenjFzn8SE5RA", "Del Matrimonio Secreto De Los Dioses Con Los Hombres")</f>
        <v>0</v>
      </c>
      <c r="B1119" t="s">
        <v>343</v>
      </c>
      <c r="C1119" t="s">
        <v>1572</v>
      </c>
      <c r="D1119" t="s">
        <v>2898</v>
      </c>
      <c r="E1119" t="s">
        <v>3117</v>
      </c>
      <c r="F1119" t="s">
        <v>3130</v>
      </c>
      <c r="G1119" s="2" t="s">
        <v>4249</v>
      </c>
      <c r="H1119">
        <v>6.895E-05</v>
      </c>
      <c r="I1119">
        <v>6.475E-05</v>
      </c>
      <c r="J1119">
        <v>0.0001337</v>
      </c>
    </row>
    <row r="1120" spans="1:10">
      <c r="A1120">
        <f>HYPERLINK("https://mega.nz/file/qQklWbKR#HpJcrxk17pH8Ex4GfExyQiXfkTqV0ku57AnRUIHlJ1A", "El Libro De La Revelacion Del Santo Grial")</f>
        <v>0</v>
      </c>
      <c r="B1120" t="s">
        <v>343</v>
      </c>
      <c r="C1120" t="s">
        <v>1573</v>
      </c>
      <c r="D1120" t="s">
        <v>2899</v>
      </c>
      <c r="E1120" t="s">
        <v>3117</v>
      </c>
      <c r="F1120" t="s">
        <v>3130</v>
      </c>
      <c r="G1120" s="2" t="s">
        <v>4250</v>
      </c>
      <c r="H1120">
        <v>6.475E-05</v>
      </c>
      <c r="I1120">
        <v>5.075E-05</v>
      </c>
      <c r="J1120">
        <v>0.0001155</v>
      </c>
    </row>
    <row r="1121" spans="1:10">
      <c r="A1121">
        <f>HYPERLINK("https://mega.nz/file/bJ9WFS4Z#D7Q62mz7HJbAGzhqWuM_GUoJ0SBvJw8jKoqskci5cXo", "Tarot")</f>
        <v>0</v>
      </c>
      <c r="B1121" t="s">
        <v>344</v>
      </c>
      <c r="C1121" t="s">
        <v>1188</v>
      </c>
      <c r="D1121" t="s">
        <v>2900</v>
      </c>
      <c r="E1121" t="s">
        <v>1188</v>
      </c>
      <c r="F1121" t="s">
        <v>3131</v>
      </c>
      <c r="G1121" s="2" t="s">
        <v>4251</v>
      </c>
      <c r="H1121">
        <v>5.67E-05</v>
      </c>
      <c r="I1121">
        <v>4.97E-05</v>
      </c>
      <c r="J1121">
        <v>0.0001064</v>
      </c>
    </row>
    <row r="1122" spans="1:10">
      <c r="A1122">
        <f>HYPERLINK("https://mega.nz/file/uQt3HZJY#hUqc7dF2NqJmCoa-a49W0AwVFgpHagNpu6KzZaP4Fiw", "Life Beyond the Veil")</f>
        <v>0</v>
      </c>
      <c r="B1122" t="s">
        <v>345</v>
      </c>
      <c r="C1122" t="s">
        <v>1574</v>
      </c>
      <c r="D1122" t="s">
        <v>2901</v>
      </c>
      <c r="E1122" t="s">
        <v>3117</v>
      </c>
      <c r="F1122" t="s">
        <v>3131</v>
      </c>
      <c r="G1122" s="2" t="s">
        <v>4252</v>
      </c>
      <c r="H1122">
        <v>5.845E-05</v>
      </c>
      <c r="I1122">
        <v>4.9E-05</v>
      </c>
      <c r="J1122">
        <v>0.00010745</v>
      </c>
    </row>
    <row r="1123" spans="1:10">
      <c r="A1123">
        <f>HYPERLINK("https://mega.nz/file/OYVDWQyK#yhopSVC7uBkEvLF5H8oShSZqgdkCyBcIN_7u4RPOsv0", "Life Beyond the Veil vol 1")</f>
        <v>0</v>
      </c>
      <c r="B1123" t="s">
        <v>345</v>
      </c>
      <c r="C1123" t="s">
        <v>1575</v>
      </c>
      <c r="D1123" t="s">
        <v>2902</v>
      </c>
      <c r="E1123" t="s">
        <v>3117</v>
      </c>
      <c r="F1123" t="s">
        <v>3131</v>
      </c>
      <c r="G1123" s="2" t="s">
        <v>4253</v>
      </c>
      <c r="H1123">
        <v>6.055E-05</v>
      </c>
      <c r="I1123">
        <v>4.865E-05</v>
      </c>
      <c r="J1123">
        <v>0.0001092</v>
      </c>
    </row>
    <row r="1124" spans="1:10">
      <c r="A1124">
        <f>HYPERLINK("https://mega.nz/file/vZdRQKJa#i8ABw4GZ-Ta83tatDxYX8jN6r-7kfDeFWS3STmku_KA", "Life Beyond the Veil vol 3")</f>
        <v>0</v>
      </c>
      <c r="B1124" t="s">
        <v>345</v>
      </c>
      <c r="C1124" t="s">
        <v>1576</v>
      </c>
      <c r="D1124" t="s">
        <v>2903</v>
      </c>
      <c r="E1124" t="s">
        <v>3117</v>
      </c>
      <c r="F1124" t="s">
        <v>3131</v>
      </c>
      <c r="G1124" s="2" t="s">
        <v>4254</v>
      </c>
      <c r="H1124">
        <v>6.055E-05</v>
      </c>
      <c r="I1124">
        <v>4.725E-05</v>
      </c>
      <c r="J1124">
        <v>0.0001078</v>
      </c>
    </row>
    <row r="1125" spans="1:10">
      <c r="A1125">
        <f>HYPERLINK("https://mega.nz/file/SRUW1TYD#fA_p0zX49K6eKUkbfCi3MsgzyDCCJeO5n_IHENh71DU", "Life Beyond the Veil vol 4")</f>
        <v>0</v>
      </c>
      <c r="B1125" t="s">
        <v>345</v>
      </c>
      <c r="C1125" t="s">
        <v>1577</v>
      </c>
      <c r="D1125" t="s">
        <v>2904</v>
      </c>
      <c r="E1125" t="s">
        <v>3117</v>
      </c>
      <c r="F1125" t="s">
        <v>3131</v>
      </c>
      <c r="G1125" s="2" t="s">
        <v>4255</v>
      </c>
      <c r="H1125">
        <v>6.055E-05</v>
      </c>
      <c r="I1125">
        <v>4.865E-05</v>
      </c>
      <c r="J1125">
        <v>0.0001092</v>
      </c>
    </row>
    <row r="1126" spans="1:10">
      <c r="A1126">
        <f>HYPERLINK("https://mega.nz/file/WBskDKrK#annWPwghu58adZed2HhTJC0TWsNU3QiH1a0khzgqxmg", "Memetic Magic")</f>
        <v>0</v>
      </c>
      <c r="B1126" t="s">
        <v>346</v>
      </c>
      <c r="C1126" t="s">
        <v>1578</v>
      </c>
      <c r="D1126" t="s">
        <v>2905</v>
      </c>
      <c r="E1126" t="s">
        <v>3117</v>
      </c>
      <c r="F1126" t="s">
        <v>3131</v>
      </c>
      <c r="G1126" s="2" t="s">
        <v>4256</v>
      </c>
      <c r="H1126">
        <v>5.25E-05</v>
      </c>
      <c r="I1126">
        <v>5.25E-05</v>
      </c>
      <c r="J1126">
        <v>0.000105</v>
      </c>
    </row>
    <row r="1127" spans="1:10">
      <c r="A1127">
        <f>HYPERLINK("https://mega.nz/file/fd1VTJZL#N1pz5Wx0XVMg6hFFgHp1KyYlDW3ZTZxgAtV4_gDO-xo", "La Conspiracion Del Movimiento Gay")</f>
        <v>0</v>
      </c>
      <c r="B1127" t="s">
        <v>347</v>
      </c>
      <c r="C1127" t="s">
        <v>1579</v>
      </c>
      <c r="D1127" t="s">
        <v>2906</v>
      </c>
      <c r="E1127" t="s">
        <v>3117</v>
      </c>
      <c r="F1127" t="s">
        <v>3130</v>
      </c>
      <c r="G1127" s="2" t="s">
        <v>4257</v>
      </c>
      <c r="H1127">
        <v>6.37E-05</v>
      </c>
      <c r="I1127">
        <v>5.81E-05</v>
      </c>
      <c r="J1127">
        <v>0.0001218</v>
      </c>
    </row>
    <row r="1128" spans="1:10">
      <c r="A1128">
        <f>HYPERLINK("https://mega.nz/file/bYthzIbC#F1b4-yxPfX3ptSj8jxxff0mCxbXmA-OJaA7zok69LwU", "Fuerzas Invisibles")</f>
        <v>0</v>
      </c>
      <c r="B1128" t="s">
        <v>348</v>
      </c>
      <c r="C1128" t="s">
        <v>1580</v>
      </c>
      <c r="D1128" t="s">
        <v>2907</v>
      </c>
      <c r="E1128" t="s">
        <v>3117</v>
      </c>
      <c r="F1128" t="s">
        <v>3131</v>
      </c>
      <c r="G1128" s="2" t="s">
        <v>4258</v>
      </c>
      <c r="H1128">
        <v>5.915E-05</v>
      </c>
      <c r="I1128">
        <v>4.55E-05</v>
      </c>
      <c r="J1128">
        <v>0.00010465</v>
      </c>
    </row>
    <row r="1129" spans="1:10">
      <c r="A1129">
        <f>HYPERLINK("https://mega.nz/file/KA1kETAT#nCT3vsG4ez3lZkuDslRku6fwyuZkhCrH3iUrfkHuIM0", "Melkisedek")</f>
        <v>0</v>
      </c>
      <c r="B1129" t="s">
        <v>348</v>
      </c>
      <c r="C1129" t="s">
        <v>1581</v>
      </c>
      <c r="D1129" t="s">
        <v>2908</v>
      </c>
      <c r="E1129" t="s">
        <v>3117</v>
      </c>
      <c r="F1129" t="s">
        <v>3131</v>
      </c>
      <c r="G1129" s="2" t="s">
        <v>4259</v>
      </c>
      <c r="H1129">
        <v>5.845E-05</v>
      </c>
      <c r="I1129">
        <v>5.285E-05</v>
      </c>
      <c r="J1129">
        <v>0.0001113</v>
      </c>
    </row>
    <row r="1130" spans="1:10">
      <c r="A1130">
        <f>HYPERLINK("https://mega.nz/file/eRUxhSiD#jUuNkBKxOFbmjqUHxUzkcI4In6CB8mkkaBvs9vUq5RM", "Tratado sobre ocultismo natural")</f>
        <v>0</v>
      </c>
      <c r="B1130" t="s">
        <v>348</v>
      </c>
      <c r="C1130" t="s">
        <v>1582</v>
      </c>
      <c r="D1130" t="s">
        <v>2909</v>
      </c>
      <c r="E1130" t="s">
        <v>3117</v>
      </c>
      <c r="F1130" t="s">
        <v>3131</v>
      </c>
      <c r="G1130" s="2" t="s">
        <v>4260</v>
      </c>
      <c r="H1130">
        <v>6.125E-05</v>
      </c>
      <c r="I1130">
        <v>5.32E-05</v>
      </c>
      <c r="J1130">
        <v>0.00011445</v>
      </c>
    </row>
    <row r="1131" spans="1:10">
      <c r="A1131">
        <f>HYPERLINK("https://mega.nz/file/yJNkjLbQ#Js_slJejs5BP0Jij6eo1pN-xriGCyPqESHxkKWyYzhU", "Espiritualidad Hindu")</f>
        <v>0</v>
      </c>
      <c r="B1131" t="s">
        <v>349</v>
      </c>
      <c r="C1131" t="s">
        <v>1583</v>
      </c>
      <c r="D1131" t="s">
        <v>2910</v>
      </c>
      <c r="E1131" t="s">
        <v>3119</v>
      </c>
      <c r="F1131" t="s">
        <v>3131</v>
      </c>
      <c r="G1131" s="2" t="s">
        <v>4261</v>
      </c>
      <c r="H1131">
        <v>5.985E-05</v>
      </c>
      <c r="I1131">
        <v>4.97E-05</v>
      </c>
      <c r="J1131">
        <v>0.00010955</v>
      </c>
    </row>
    <row r="1132" spans="1:10">
      <c r="A1132">
        <f>HYPERLINK("https://mega.nz/file/GIF22IKT#JGE_HAFH8m_APfvDl4JLYKdEwdlYQ-TrQeF2g4kDCp0", "El Gran Grimorio")</f>
        <v>0</v>
      </c>
      <c r="B1132" t="s">
        <v>350</v>
      </c>
      <c r="C1132" t="s">
        <v>651</v>
      </c>
      <c r="D1132" t="s">
        <v>2911</v>
      </c>
      <c r="E1132" t="s">
        <v>3117</v>
      </c>
      <c r="F1132" t="s">
        <v>3130</v>
      </c>
      <c r="G1132" s="2" t="s">
        <v>4262</v>
      </c>
      <c r="H1132">
        <v>5.95E-05</v>
      </c>
      <c r="I1132">
        <v>6.58E-05</v>
      </c>
      <c r="J1132">
        <v>0.0001253</v>
      </c>
    </row>
    <row r="1133" spans="1:10">
      <c r="A1133">
        <f>HYPERLINK("https://mega.nz/file/rJ8XgIII#nTPpA5gD0Urn2xChNcIxvYFzD6qFTuxkCPD98iNYnZU", "El Gran Grimorio")</f>
        <v>0</v>
      </c>
      <c r="B1133" t="s">
        <v>351</v>
      </c>
      <c r="C1133" t="s">
        <v>651</v>
      </c>
      <c r="D1133" t="s">
        <v>2912</v>
      </c>
      <c r="E1133" t="s">
        <v>3117</v>
      </c>
      <c r="F1133" t="s">
        <v>3130</v>
      </c>
      <c r="G1133" s="2" t="s">
        <v>4263</v>
      </c>
      <c r="H1133">
        <v>6.160000000000001E-05</v>
      </c>
      <c r="I1133">
        <v>5.74E-05</v>
      </c>
      <c r="J1133">
        <v>0.000119</v>
      </c>
    </row>
    <row r="1134" spans="1:10">
      <c r="A1134">
        <f>HYPERLINK("https://mega.nz/file/qYNiXaqQ#5wVfGM_RzaHqO3LCDkJrpH4GtAmCOS3YW6T5CYNQGQ4", "Alquimia")</f>
        <v>0</v>
      </c>
      <c r="B1134" t="s">
        <v>352</v>
      </c>
      <c r="C1134" t="s">
        <v>1584</v>
      </c>
      <c r="D1134" t="s">
        <v>2913</v>
      </c>
      <c r="E1134" t="s">
        <v>1584</v>
      </c>
      <c r="F1134" t="s">
        <v>3131</v>
      </c>
      <c r="G1134" s="2" t="s">
        <v>4264</v>
      </c>
      <c r="H1134">
        <v>5.74E-05</v>
      </c>
      <c r="I1134">
        <v>4.97E-05</v>
      </c>
      <c r="J1134">
        <v>0.0001071</v>
      </c>
    </row>
    <row r="1135" spans="1:10">
      <c r="A1135">
        <f>HYPERLINK("https://mega.nz/file/GNEVQJCQ#NbNhughclvamawtAnutsuwSkSB7GMvrTq8fA1sPGH2s", "iniciacion astrologica")</f>
        <v>0</v>
      </c>
      <c r="B1135" t="s">
        <v>352</v>
      </c>
      <c r="C1135" t="s">
        <v>1585</v>
      </c>
      <c r="D1135" t="s">
        <v>2914</v>
      </c>
      <c r="E1135" t="s">
        <v>3117</v>
      </c>
      <c r="F1135" t="s">
        <v>3131</v>
      </c>
      <c r="G1135" s="2" t="s">
        <v>4265</v>
      </c>
      <c r="H1135">
        <v>5.915E-05</v>
      </c>
      <c r="I1135">
        <v>4.69E-05</v>
      </c>
      <c r="J1135">
        <v>0.00010605</v>
      </c>
    </row>
    <row r="1136" spans="1:10">
      <c r="A1136">
        <f>HYPERLINK("https://mega.nz/file/eFkGCJyb#w71YPHhMh46cF2hYxlXoYit0Mnf79eXpcEphXInhUNQ", "La Cabala")</f>
        <v>0</v>
      </c>
      <c r="B1136" t="s">
        <v>352</v>
      </c>
      <c r="C1136" t="s">
        <v>1586</v>
      </c>
      <c r="D1136" t="s">
        <v>2915</v>
      </c>
      <c r="E1136" t="s">
        <v>3118</v>
      </c>
      <c r="F1136" t="s">
        <v>3130</v>
      </c>
      <c r="G1136" s="2" t="s">
        <v>4266</v>
      </c>
      <c r="H1136">
        <v>5.25E-05</v>
      </c>
      <c r="I1136">
        <v>5.67E-05</v>
      </c>
      <c r="J1136">
        <v>0.0001092</v>
      </c>
    </row>
    <row r="1137" spans="1:10">
      <c r="A1137">
        <f>HYPERLINK("https://mega.nz/file/DNs2VKjJ#v7d6qt5UWXrYt40txNP-Io7uXKT4mflsEHsIwj4aUvg", "La ciencia de los magos")</f>
        <v>0</v>
      </c>
      <c r="B1137" t="s">
        <v>352</v>
      </c>
      <c r="C1137" t="s">
        <v>1587</v>
      </c>
      <c r="D1137" t="s">
        <v>2916</v>
      </c>
      <c r="E1137" t="s">
        <v>3117</v>
      </c>
      <c r="F1137" t="s">
        <v>3130</v>
      </c>
      <c r="G1137" s="2" t="s">
        <v>4267</v>
      </c>
      <c r="H1137">
        <v>6.055E-05</v>
      </c>
      <c r="I1137">
        <v>5.915E-05</v>
      </c>
      <c r="J1137">
        <v>0.0001197</v>
      </c>
    </row>
    <row r="1138" spans="1:10">
      <c r="A1138">
        <f>HYPERLINK("https://mega.nz/file/aJl3WKja#yHCuPf1ipRS8sCQnSE02aqtOr88_B3TId4oXW3mmNfw", "La Reencarnacion")</f>
        <v>0</v>
      </c>
      <c r="B1138" t="s">
        <v>352</v>
      </c>
      <c r="C1138" t="s">
        <v>1588</v>
      </c>
      <c r="D1138" t="s">
        <v>2917</v>
      </c>
      <c r="E1138" t="s">
        <v>3117</v>
      </c>
      <c r="F1138" t="s">
        <v>3130</v>
      </c>
      <c r="G1138" s="2" t="s">
        <v>4268</v>
      </c>
      <c r="H1138">
        <v>5.95E-05</v>
      </c>
      <c r="I1138">
        <v>5.6E-05</v>
      </c>
      <c r="J1138">
        <v>0.0001155</v>
      </c>
    </row>
    <row r="1139" spans="1:10">
      <c r="A1139">
        <f>HYPERLINK("https://mega.nz/file/2J0i0QrY#ktqugVAnw7w9SsW__yMpQ5YkGOaYHMSpK1fKmamSsHk", "Sepher Yetzirah")</f>
        <v>0</v>
      </c>
      <c r="B1139" t="s">
        <v>352</v>
      </c>
      <c r="C1139" t="s">
        <v>963</v>
      </c>
      <c r="D1139" t="s">
        <v>2918</v>
      </c>
      <c r="E1139" t="s">
        <v>3118</v>
      </c>
      <c r="F1139" t="s">
        <v>3131</v>
      </c>
      <c r="G1139" s="2" t="s">
        <v>4269</v>
      </c>
      <c r="H1139">
        <v>6.02E-05</v>
      </c>
      <c r="I1139">
        <v>5.18E-05</v>
      </c>
      <c r="J1139">
        <v>0.000112</v>
      </c>
    </row>
    <row r="1140" spans="1:10">
      <c r="A1140">
        <f>HYPERLINK("https://mega.nz/file/DYF3QSia#VErvs63eCjt5e_23edIapxdsnHhgmu96eUWz4N9CtlA", "tratado Elemental de Magia Practica")</f>
        <v>0</v>
      </c>
      <c r="B1140" t="s">
        <v>352</v>
      </c>
      <c r="C1140" t="s">
        <v>1589</v>
      </c>
      <c r="D1140" t="s">
        <v>2919</v>
      </c>
      <c r="E1140" t="s">
        <v>3117</v>
      </c>
      <c r="F1140" t="s">
        <v>3130</v>
      </c>
      <c r="G1140" s="2" t="s">
        <v>4270</v>
      </c>
      <c r="H1140">
        <v>6.23E-05</v>
      </c>
      <c r="I1140">
        <v>6.125E-05</v>
      </c>
      <c r="J1140">
        <v>0.00012355</v>
      </c>
    </row>
    <row r="1141" spans="1:10">
      <c r="A1141">
        <f>HYPERLINK("https://mega.nz/file/XEkyxbxa#TtubwZ4etZJu1RAswt9HGFqNrKKbYykRtRdyKWIcN6k", "Archidoxia magica")</f>
        <v>0</v>
      </c>
      <c r="B1141" t="s">
        <v>353</v>
      </c>
      <c r="C1141" t="s">
        <v>1590</v>
      </c>
      <c r="D1141" t="s">
        <v>2920</v>
      </c>
      <c r="E1141" t="s">
        <v>3117</v>
      </c>
      <c r="F1141" t="s">
        <v>3131</v>
      </c>
      <c r="G1141" s="2" t="s">
        <v>4271</v>
      </c>
      <c r="H1141">
        <v>6.160000000000001E-05</v>
      </c>
      <c r="I1141">
        <v>5.88E-05</v>
      </c>
      <c r="J1141">
        <v>0.0001204</v>
      </c>
    </row>
    <row r="1142" spans="1:10">
      <c r="A1142">
        <f>HYPERLINK("https://mega.nz/file/HYlykSjC#iyJn7CUgRkA2Y9Fc_yUfGUAP0E1LhzykjTiZI2Tk6Ts", "As plantas magicas")</f>
        <v>0</v>
      </c>
      <c r="B1142" t="s">
        <v>353</v>
      </c>
      <c r="C1142" t="s">
        <v>1591</v>
      </c>
      <c r="D1142" t="s">
        <v>2921</v>
      </c>
      <c r="E1142" t="s">
        <v>3117</v>
      </c>
      <c r="F1142" t="s">
        <v>3131</v>
      </c>
      <c r="G1142" s="2" t="s">
        <v>4272</v>
      </c>
      <c r="H1142">
        <v>6.055E-05</v>
      </c>
      <c r="I1142">
        <v>5.915E-05</v>
      </c>
      <c r="J1142">
        <v>0.0001197</v>
      </c>
    </row>
    <row r="1143" spans="1:10">
      <c r="A1143">
        <f>HYPERLINK("https://mega.nz/file/2EE3FS4Q#r8AtB4qxIJI6ZpjBOxIrbWLr6E5-Dn2DoSA0NiiNbSE", "Tratado de los seres")</f>
        <v>0</v>
      </c>
      <c r="B1143" t="s">
        <v>353</v>
      </c>
      <c r="C1143" t="s">
        <v>1592</v>
      </c>
      <c r="D1143" t="s">
        <v>2922</v>
      </c>
      <c r="E1143" t="s">
        <v>3117</v>
      </c>
      <c r="F1143" t="s">
        <v>3130</v>
      </c>
      <c r="G1143" s="2" t="s">
        <v>4273</v>
      </c>
      <c r="H1143">
        <v>6.23E-05</v>
      </c>
      <c r="I1143">
        <v>5.985E-05</v>
      </c>
      <c r="J1143">
        <v>0.00012215</v>
      </c>
    </row>
    <row r="1144" spans="1:10">
      <c r="A1144">
        <f>HYPERLINK("https://mega.nz/file/eVlzGRxI#18QVHuiuz-cJpHZoZcgqNjIX-Zkgm-RRaM1glLgSnpw", "Paragranum")</f>
        <v>0</v>
      </c>
      <c r="B1144" t="s">
        <v>354</v>
      </c>
      <c r="C1144" t="s">
        <v>1593</v>
      </c>
      <c r="D1144" t="s">
        <v>2923</v>
      </c>
      <c r="E1144" t="s">
        <v>3117</v>
      </c>
      <c r="F1144" t="s">
        <v>3131</v>
      </c>
      <c r="G1144" s="2" t="s">
        <v>4274</v>
      </c>
      <c r="H1144">
        <v>6.055E-05</v>
      </c>
      <c r="I1144">
        <v>5.845E-05</v>
      </c>
      <c r="J1144">
        <v>0.000119</v>
      </c>
    </row>
    <row r="1145" spans="1:10">
      <c r="A1145">
        <f>HYPERLINK("https://mega.nz/file/vIcQXZ5b#3NMePVy9PqMqhmV9QCziorTOHKrh6kKOIkocQV3A0Jk", "SeptemDefensiones")</f>
        <v>0</v>
      </c>
      <c r="B1145" t="s">
        <v>354</v>
      </c>
      <c r="C1145" t="s">
        <v>1594</v>
      </c>
      <c r="D1145" t="s">
        <v>2924</v>
      </c>
      <c r="E1145" t="s">
        <v>3117</v>
      </c>
      <c r="F1145" t="s">
        <v>3131</v>
      </c>
      <c r="G1145" s="2" t="s">
        <v>4275</v>
      </c>
      <c r="H1145">
        <v>6.160000000000001E-05</v>
      </c>
      <c r="I1145">
        <v>5.88E-05</v>
      </c>
      <c r="J1145">
        <v>0.0001204</v>
      </c>
    </row>
    <row r="1146" spans="1:10">
      <c r="A1146">
        <f>HYPERLINK("https://mega.nz/file/7I80kDJT#gJs9wi3JOQaMh9CKXr8NJ-gO77HbUjjCQjD21SBTVys", "VomHonig")</f>
        <v>0</v>
      </c>
      <c r="B1146" t="s">
        <v>354</v>
      </c>
      <c r="C1146" t="s">
        <v>1595</v>
      </c>
      <c r="D1146" t="s">
        <v>2925</v>
      </c>
      <c r="E1146" t="s">
        <v>3117</v>
      </c>
      <c r="F1146" t="s">
        <v>3131</v>
      </c>
      <c r="G1146" s="2" t="s">
        <v>4276</v>
      </c>
      <c r="H1146">
        <v>6.02E-05</v>
      </c>
      <c r="I1146">
        <v>5.635E-05</v>
      </c>
      <c r="J1146">
        <v>0.00011655</v>
      </c>
    </row>
    <row r="1147" spans="1:10">
      <c r="A1147">
        <f>HYPERLINK("https://mega.nz/file/OMF0hbwJ#AaoMHD8eu_ig4PBo1vzuYMZz4W3Dy17z4xVqQCBuAPk", "Monstruos y prodigios")</f>
        <v>0</v>
      </c>
      <c r="B1147" t="s">
        <v>355</v>
      </c>
      <c r="C1147" t="s">
        <v>1596</v>
      </c>
      <c r="D1147" t="s">
        <v>2926</v>
      </c>
      <c r="E1147" t="s">
        <v>3117</v>
      </c>
      <c r="F1147" t="s">
        <v>3130</v>
      </c>
      <c r="G1147" s="2" t="s">
        <v>4277</v>
      </c>
      <c r="H1147">
        <v>6.334999999999999E-05</v>
      </c>
      <c r="I1147">
        <v>5.6E-05</v>
      </c>
      <c r="J1147">
        <v>0.00011935</v>
      </c>
    </row>
    <row r="1148" spans="1:10">
      <c r="A1148">
        <f>HYPERLINK("https://mega.nz/file/iNMAWaDJ#B5N_bnVdVFkHVx9nCp5ABwp10I8FYX2mf4MfeM-WrTY", "Tratado De La Reintegracin De Los Seres")</f>
        <v>0</v>
      </c>
      <c r="B1148" t="s">
        <v>356</v>
      </c>
      <c r="C1148" t="s">
        <v>1597</v>
      </c>
      <c r="D1148" t="s">
        <v>2927</v>
      </c>
      <c r="E1148" t="s">
        <v>3117</v>
      </c>
      <c r="F1148" t="s">
        <v>3130</v>
      </c>
      <c r="G1148" s="2" t="s">
        <v>4278</v>
      </c>
      <c r="H1148">
        <v>6.965E-05</v>
      </c>
      <c r="I1148">
        <v>6.37E-05</v>
      </c>
      <c r="J1148">
        <v>0.00013335</v>
      </c>
    </row>
    <row r="1149" spans="1:10">
      <c r="A1149">
        <f>HYPERLINK("https://mega.nz/file/uVtlUTAR#QoypIZi4sat6b-wA_UvNYdViphGWb78CNNidxU_aOZ4", "Introduction to the Study of the Tarot")</f>
        <v>0</v>
      </c>
      <c r="B1149" t="s">
        <v>357</v>
      </c>
      <c r="C1149" t="s">
        <v>1598</v>
      </c>
      <c r="D1149" t="s">
        <v>2928</v>
      </c>
      <c r="E1149" t="s">
        <v>1188</v>
      </c>
      <c r="F1149" t="s">
        <v>3131</v>
      </c>
      <c r="G1149" s="2" t="s">
        <v>4279</v>
      </c>
      <c r="H1149">
        <v>6.265E-05</v>
      </c>
      <c r="I1149">
        <v>5.565E-05</v>
      </c>
      <c r="J1149">
        <v>0.0001183</v>
      </c>
    </row>
    <row r="1150" spans="1:10">
      <c r="A1150">
        <f>HYPERLINK("https://mega.nz/file/SJtSnYqK#edgEqKUiXWMMDLz6iEXYEE_ulZv4nWrhGyyswOqwCDk", "Mindwar")</f>
        <v>0</v>
      </c>
      <c r="B1150" t="s">
        <v>358</v>
      </c>
      <c r="C1150" t="s">
        <v>1599</v>
      </c>
      <c r="D1150" t="s">
        <v>2929</v>
      </c>
      <c r="E1150" t="s">
        <v>3117</v>
      </c>
      <c r="F1150" t="s">
        <v>3131</v>
      </c>
      <c r="G1150" s="2" t="s">
        <v>4280</v>
      </c>
      <c r="H1150">
        <v>6.160000000000001E-05</v>
      </c>
      <c r="I1150">
        <v>4.375E-05</v>
      </c>
      <c r="J1150">
        <v>0.00010535</v>
      </c>
    </row>
    <row r="1151" spans="1:10">
      <c r="A1151">
        <f>HYPERLINK("https://mega.nz/file/6cNWXbaA#K6erUaY060JtV-eMQmenKnB1VpE6HYDOP6c45ThLtg0", "El Papiro de Saqqara")</f>
        <v>0</v>
      </c>
      <c r="B1151" t="s">
        <v>359</v>
      </c>
      <c r="C1151" t="s">
        <v>1600</v>
      </c>
      <c r="D1151" t="s">
        <v>2930</v>
      </c>
      <c r="E1151" t="s">
        <v>3117</v>
      </c>
      <c r="F1151" t="s">
        <v>3130</v>
      </c>
      <c r="G1151" s="2" t="s">
        <v>4281</v>
      </c>
      <c r="H1151">
        <v>6.37E-05</v>
      </c>
      <c r="I1151">
        <v>5.88E-05</v>
      </c>
      <c r="J1151">
        <v>0.0001225</v>
      </c>
    </row>
    <row r="1152" spans="1:10">
      <c r="A1152">
        <f>HYPERLINK("https://mega.nz/file/OcEyRR4I#hhGLuTyKRcTG5qfF7CUowY1wP88utFbpDWp5Jj20SfE", "Ambiente Historico Cultural de Los Origenes Del Cristianismo")</f>
        <v>0</v>
      </c>
      <c r="B1152" t="s">
        <v>360</v>
      </c>
      <c r="C1152" t="s">
        <v>1601</v>
      </c>
      <c r="D1152" t="s">
        <v>2931</v>
      </c>
      <c r="E1152" t="s">
        <v>3117</v>
      </c>
      <c r="F1152" t="s">
        <v>3130</v>
      </c>
      <c r="G1152" s="2" t="s">
        <v>4282</v>
      </c>
      <c r="H1152">
        <v>7.7E-05</v>
      </c>
      <c r="I1152">
        <v>6.09E-05</v>
      </c>
      <c r="J1152">
        <v>0.0001379</v>
      </c>
    </row>
    <row r="1153" spans="1:10">
      <c r="A1153">
        <f>HYPERLINK("https://mega.nz/file/DIlVSASQ#c0IuRmRm1xSc4qEcNLDWrVdBK2hhICoobaabtVkkj4o", "Ciencias Secretas De Hitler")</f>
        <v>0</v>
      </c>
      <c r="B1153" t="s">
        <v>361</v>
      </c>
      <c r="C1153" t="s">
        <v>1602</v>
      </c>
      <c r="D1153" t="s">
        <v>2932</v>
      </c>
      <c r="E1153" t="s">
        <v>3117</v>
      </c>
      <c r="F1153" t="s">
        <v>3130</v>
      </c>
      <c r="G1153" s="2" t="s">
        <v>4283</v>
      </c>
      <c r="H1153">
        <v>6.125E-05</v>
      </c>
      <c r="I1153">
        <v>7.21E-05</v>
      </c>
      <c r="J1153">
        <v>0.00013335</v>
      </c>
    </row>
    <row r="1154" spans="1:10">
      <c r="A1154">
        <f>HYPERLINK("https://mega.nz/file/DJV1QRDD#799xbAaszaxBshrJ30ha67Mbm7L6DcqRoNKN155Qp4k", "A Treatise On The Great Art")</f>
        <v>0</v>
      </c>
      <c r="B1154" t="s">
        <v>362</v>
      </c>
      <c r="C1154" t="s">
        <v>1603</v>
      </c>
      <c r="D1154" t="s">
        <v>2933</v>
      </c>
      <c r="E1154" t="s">
        <v>3117</v>
      </c>
      <c r="F1154" t="s">
        <v>3131</v>
      </c>
      <c r="G1154" s="2" t="s">
        <v>4284</v>
      </c>
      <c r="H1154">
        <v>6.160000000000001E-05</v>
      </c>
      <c r="I1154">
        <v>5.46E-05</v>
      </c>
      <c r="J1154">
        <v>0.0001162</v>
      </c>
    </row>
    <row r="1155" spans="1:10">
      <c r="A1155">
        <f>HYPERLINK("https://mega.nz/file/mVdlHTYD#1tV-WR0DNAp6tz3OvqC0I-DJX3m15dpKXXV7IdYRafA", "Liber Null &amp; Psychonaut")</f>
        <v>0</v>
      </c>
      <c r="B1155" t="s">
        <v>363</v>
      </c>
      <c r="C1155" t="s">
        <v>1604</v>
      </c>
      <c r="D1155" t="s">
        <v>2934</v>
      </c>
      <c r="E1155" t="s">
        <v>3125</v>
      </c>
      <c r="F1155" t="s">
        <v>3131</v>
      </c>
      <c r="G1155" s="2" t="s">
        <v>4285</v>
      </c>
      <c r="H1155">
        <v>6.09E-05</v>
      </c>
      <c r="I1155">
        <v>5.11E-05</v>
      </c>
      <c r="J1155">
        <v>0.000112</v>
      </c>
    </row>
    <row r="1156" spans="1:10">
      <c r="A1156">
        <f>HYPERLINK("https://mega.nz/file/mBFGlYZC#SKryrcFxRg2G6lKie0Fp-ELizaEpcfnpygeV0fG5DyY", "Magick Course")</f>
        <v>0</v>
      </c>
      <c r="B1156" t="s">
        <v>364</v>
      </c>
      <c r="C1156" t="s">
        <v>1605</v>
      </c>
      <c r="D1156" t="s">
        <v>2935</v>
      </c>
      <c r="E1156" t="s">
        <v>3117</v>
      </c>
      <c r="F1156" t="s">
        <v>3131</v>
      </c>
      <c r="G1156" s="2" t="s">
        <v>4286</v>
      </c>
      <c r="H1156">
        <v>5.81E-05</v>
      </c>
      <c r="I1156">
        <v>4.375E-05</v>
      </c>
      <c r="J1156">
        <v>0.00010185</v>
      </c>
    </row>
    <row r="1157" spans="1:10">
      <c r="A1157">
        <f>HYPERLINK("https://mega.nz/file/HE8TUJYI#iHqHyCcpVON0lBdcmG-QgbtxiBjl_RECEDg8W4ubhbg", "Analytic Techniques for Sorcery Interventions")</f>
        <v>0</v>
      </c>
      <c r="B1157" t="s">
        <v>365</v>
      </c>
      <c r="C1157" t="s">
        <v>1606</v>
      </c>
      <c r="D1157" t="s">
        <v>2936</v>
      </c>
      <c r="E1157" t="s">
        <v>3117</v>
      </c>
      <c r="F1157" t="s">
        <v>3131</v>
      </c>
      <c r="G1157" s="2" t="s">
        <v>4287</v>
      </c>
      <c r="H1157">
        <v>6.334999999999999E-05</v>
      </c>
      <c r="I1157">
        <v>5.32E-05</v>
      </c>
      <c r="J1157">
        <v>0.00011655</v>
      </c>
    </row>
    <row r="1158" spans="1:10">
      <c r="A1158">
        <f>HYPERLINK("https://mega.nz/file/bIMymCgZ#jlYuwnEtklqoVfR9dFwcJorULDowPFSqv1vjDHFmHkg", "Aspects of Evocation")</f>
        <v>0</v>
      </c>
      <c r="B1158" t="s">
        <v>365</v>
      </c>
      <c r="C1158" t="s">
        <v>1607</v>
      </c>
      <c r="D1158" t="s">
        <v>2937</v>
      </c>
      <c r="E1158" t="s">
        <v>3117</v>
      </c>
      <c r="F1158" t="s">
        <v>3131</v>
      </c>
      <c r="G1158" s="2" t="s">
        <v>4288</v>
      </c>
      <c r="H1158">
        <v>6.02E-05</v>
      </c>
      <c r="I1158">
        <v>5.355E-05</v>
      </c>
      <c r="J1158">
        <v>0.00011375</v>
      </c>
    </row>
    <row r="1159" spans="1:10">
      <c r="A1159">
        <f>HYPERLINK("https://mega.nz/file/HF0kFRjD#MdtQ1LZBxO_9TH-u1MBbXl5khZyThxAMdjnvIL0N5B4", "Aspects of Tantra")</f>
        <v>0</v>
      </c>
      <c r="B1159" t="s">
        <v>365</v>
      </c>
      <c r="C1159" t="s">
        <v>558</v>
      </c>
      <c r="D1159" t="s">
        <v>2938</v>
      </c>
      <c r="E1159" t="s">
        <v>3119</v>
      </c>
      <c r="F1159" t="s">
        <v>3131</v>
      </c>
      <c r="G1159" s="2" t="s">
        <v>4289</v>
      </c>
      <c r="H1159">
        <v>6.02E-05</v>
      </c>
      <c r="I1159">
        <v>4.865E-05</v>
      </c>
      <c r="J1159">
        <v>0.00010885</v>
      </c>
    </row>
    <row r="1160" spans="1:10">
      <c r="A1160">
        <f>HYPERLINK("https://mega.nz/file/md8DBaiZ#fSCvIkfMNTjFPh5asB4mE3D2g6EIK12uo-IZas2lQAw", "Condensed Chaos, An Introduction To Chaos Magic")</f>
        <v>0</v>
      </c>
      <c r="B1160" t="s">
        <v>365</v>
      </c>
      <c r="C1160" t="s">
        <v>1608</v>
      </c>
      <c r="D1160" t="s">
        <v>2939</v>
      </c>
      <c r="E1160" t="s">
        <v>3125</v>
      </c>
      <c r="F1160" t="s">
        <v>3131</v>
      </c>
      <c r="G1160" s="2" t="s">
        <v>4290</v>
      </c>
      <c r="H1160">
        <v>6.37E-05</v>
      </c>
      <c r="I1160">
        <v>5.81E-05</v>
      </c>
      <c r="J1160">
        <v>0.0001218</v>
      </c>
    </row>
    <row r="1161" spans="1:10">
      <c r="A1161">
        <f>HYPERLINK("https://mega.nz/file/GB9WHAbJ#iqm__gJAJYBFC8ke8gGkPrDqXXWyHvGttVB45h2VqGI", "Counting Coup")</f>
        <v>0</v>
      </c>
      <c r="B1161" t="s">
        <v>365</v>
      </c>
      <c r="C1161" t="s">
        <v>1609</v>
      </c>
      <c r="D1161" t="s">
        <v>2940</v>
      </c>
      <c r="E1161" t="s">
        <v>3117</v>
      </c>
      <c r="F1161" t="s">
        <v>3131</v>
      </c>
      <c r="G1161" s="2" t="s">
        <v>4291</v>
      </c>
      <c r="H1161">
        <v>5.845E-05</v>
      </c>
      <c r="I1161">
        <v>5.565E-05</v>
      </c>
      <c r="J1161">
        <v>0.0001141</v>
      </c>
    </row>
    <row r="1162" spans="1:10">
      <c r="A1162">
        <f>HYPERLINK("https://mega.nz/file/WcVCzbba#_9Kxudw41GTLUW13q2fzEnG5N58txDJ-lk7GxdX5G4A", "Ego Magick")</f>
        <v>0</v>
      </c>
      <c r="B1162" t="s">
        <v>365</v>
      </c>
      <c r="C1162" t="s">
        <v>1610</v>
      </c>
      <c r="D1162" t="s">
        <v>2941</v>
      </c>
      <c r="E1162" t="s">
        <v>3117</v>
      </c>
      <c r="F1162" t="s">
        <v>3131</v>
      </c>
      <c r="G1162" s="2" t="s">
        <v>4292</v>
      </c>
      <c r="H1162">
        <v>5.915E-05</v>
      </c>
      <c r="I1162">
        <v>5.6E-05</v>
      </c>
      <c r="J1162">
        <v>0.00011515</v>
      </c>
    </row>
    <row r="1163" spans="1:10">
      <c r="A1163">
        <f>HYPERLINK("https://mega.nz/file/6QsDiIiI#rQXN3L2OwftP66d2PgrJ5VdY8uvQhgJRFyGGMt_N_R0", "General Essays on Magic")</f>
        <v>0</v>
      </c>
      <c r="B1163" t="s">
        <v>365</v>
      </c>
      <c r="C1163" t="s">
        <v>1611</v>
      </c>
      <c r="D1163" t="s">
        <v>2942</v>
      </c>
      <c r="E1163" t="s">
        <v>3117</v>
      </c>
      <c r="F1163" t="s">
        <v>3131</v>
      </c>
      <c r="G1163" s="2" t="s">
        <v>4293</v>
      </c>
      <c r="H1163">
        <v>5.95E-05</v>
      </c>
      <c r="I1163">
        <v>5.53E-05</v>
      </c>
      <c r="J1163">
        <v>0.0001148</v>
      </c>
    </row>
    <row r="1164" spans="1:10">
      <c r="A1164">
        <f>HYPERLINK("https://mega.nz/file/aMklBaaJ#xJxIv1ObwmiyLBw6-WRr7XrvyNc0GRm_4KECSkSKx0M", "Magical Use Of Voice")</f>
        <v>0</v>
      </c>
      <c r="B1164" t="s">
        <v>365</v>
      </c>
      <c r="C1164" t="s">
        <v>1612</v>
      </c>
      <c r="D1164" t="s">
        <v>2943</v>
      </c>
      <c r="E1164" t="s">
        <v>3117</v>
      </c>
      <c r="F1164" t="s">
        <v>3131</v>
      </c>
      <c r="G1164" s="2" t="s">
        <v>4294</v>
      </c>
      <c r="H1164">
        <v>6.02E-05</v>
      </c>
      <c r="I1164">
        <v>5.285E-05</v>
      </c>
      <c r="J1164">
        <v>0.00011305</v>
      </c>
    </row>
    <row r="1165" spans="1:10">
      <c r="A1165">
        <f>HYPERLINK("https://mega.nz/file/eJkAmByL#OwQcoCqdViHHIiyTEDQUrQs4c5P89dfeGAUxqsx5duc", "On Cursing")</f>
        <v>0</v>
      </c>
      <c r="B1165" t="s">
        <v>365</v>
      </c>
      <c r="C1165" t="s">
        <v>1613</v>
      </c>
      <c r="D1165" t="s">
        <v>2944</v>
      </c>
      <c r="E1165" t="s">
        <v>3117</v>
      </c>
      <c r="F1165" t="s">
        <v>3131</v>
      </c>
      <c r="G1165" s="2" t="s">
        <v>4295</v>
      </c>
      <c r="H1165">
        <v>5.845E-05</v>
      </c>
      <c r="I1165">
        <v>5.565E-05</v>
      </c>
      <c r="J1165">
        <v>0.0001141</v>
      </c>
    </row>
    <row r="1166" spans="1:10">
      <c r="A1166">
        <f>HYPERLINK("https://mega.nz/file/qA9yUC4C#5vnvlWeQ2prDom_dserPLtRzUqn-L7t_6IX4lt_r1Qg", "Oven Ready Chaos")</f>
        <v>0</v>
      </c>
      <c r="B1166" t="s">
        <v>365</v>
      </c>
      <c r="C1166" t="s">
        <v>1614</v>
      </c>
      <c r="D1166" t="s">
        <v>2945</v>
      </c>
      <c r="E1166" t="s">
        <v>3117</v>
      </c>
      <c r="F1166" t="s">
        <v>3131</v>
      </c>
      <c r="G1166" s="2" t="s">
        <v>4296</v>
      </c>
      <c r="H1166">
        <v>5.915E-05</v>
      </c>
      <c r="I1166">
        <v>5.67E-05</v>
      </c>
      <c r="J1166">
        <v>0.00011585</v>
      </c>
    </row>
    <row r="1167" spans="1:10">
      <c r="A1167">
        <f>HYPERLINK("https://mega.nz/file/rVcFhC6S#qNjHO75I9slM-5XgLd2ZzbG0drNmmSLLvRKA_8AcV6A", "Oven-ready Chaos")</f>
        <v>0</v>
      </c>
      <c r="B1167" t="s">
        <v>365</v>
      </c>
      <c r="C1167" t="s">
        <v>1615</v>
      </c>
      <c r="D1167" t="s">
        <v>2946</v>
      </c>
      <c r="E1167" t="s">
        <v>3117</v>
      </c>
      <c r="F1167" t="s">
        <v>3131</v>
      </c>
      <c r="G1167" s="2" t="s">
        <v>4297</v>
      </c>
      <c r="H1167">
        <v>6.02E-05</v>
      </c>
      <c r="I1167">
        <v>5.845E-05</v>
      </c>
      <c r="J1167">
        <v>0.00011865</v>
      </c>
    </row>
    <row r="1168" spans="1:10">
      <c r="A1168">
        <f>HYPERLINK("https://mega.nz/file/DUsShSbK#xYSSUPBf90KKLTnhV4bcgZpBkMMMLpUZ-yjT4wuUePg", "Permutations")</f>
        <v>0</v>
      </c>
      <c r="B1168" t="s">
        <v>365</v>
      </c>
      <c r="C1168" t="s">
        <v>1616</v>
      </c>
      <c r="D1168" t="s">
        <v>2947</v>
      </c>
      <c r="E1168" t="s">
        <v>3117</v>
      </c>
      <c r="F1168" t="s">
        <v>3131</v>
      </c>
      <c r="G1168" s="2" t="s">
        <v>4298</v>
      </c>
      <c r="H1168">
        <v>5.74E-05</v>
      </c>
      <c r="I1168">
        <v>5.04E-05</v>
      </c>
      <c r="J1168">
        <v>0.0001078</v>
      </c>
    </row>
    <row r="1169" spans="1:10">
      <c r="A1169">
        <f>HYPERLINK("https://mega.nz/file/yUdlEYyY#WRAv-OJ-TwxIFQcf00ovnft53m8QSk2rD_U2rzA80fQ", "Prime chaos")</f>
        <v>0</v>
      </c>
      <c r="B1169" t="s">
        <v>365</v>
      </c>
      <c r="C1169" t="s">
        <v>1617</v>
      </c>
      <c r="D1169" t="s">
        <v>2948</v>
      </c>
      <c r="E1169" t="s">
        <v>3117</v>
      </c>
      <c r="F1169" t="s">
        <v>3131</v>
      </c>
      <c r="G1169" s="2" t="s">
        <v>4299</v>
      </c>
      <c r="H1169">
        <v>5.74E-05</v>
      </c>
      <c r="I1169">
        <v>4.9E-05</v>
      </c>
      <c r="J1169">
        <v>0.0001064</v>
      </c>
    </row>
    <row r="1170" spans="1:10">
      <c r="A1170">
        <f>HYPERLINK("https://mega.nz/file/rMN21TII#Z5F0M58Z9W3Zq7csVOC2qNoLlUHvKgFgwrhxlEsDEjk", "Rites that go Wrong")</f>
        <v>0</v>
      </c>
      <c r="B1170" t="s">
        <v>365</v>
      </c>
      <c r="C1170" t="s">
        <v>1618</v>
      </c>
      <c r="D1170" t="s">
        <v>2949</v>
      </c>
      <c r="E1170" t="s">
        <v>3117</v>
      </c>
      <c r="F1170" t="s">
        <v>3131</v>
      </c>
      <c r="G1170" s="2" t="s">
        <v>4300</v>
      </c>
      <c r="H1170">
        <v>6.055E-05</v>
      </c>
      <c r="I1170">
        <v>5.565E-05</v>
      </c>
      <c r="J1170">
        <v>0.0001162</v>
      </c>
    </row>
    <row r="1171" spans="1:10">
      <c r="A1171">
        <f>HYPERLINK("https://mega.nz/file/PNN0nYQQ#S4EALCaMzLHBZVhaAUWjDM8e8ikepQNW93Z-6v5WiVM", "Romancing the shadow - psychopaths and the American Dream")</f>
        <v>0</v>
      </c>
      <c r="B1171" t="s">
        <v>365</v>
      </c>
      <c r="C1171" t="s">
        <v>1619</v>
      </c>
      <c r="D1171" t="s">
        <v>2950</v>
      </c>
      <c r="E1171" t="s">
        <v>3117</v>
      </c>
      <c r="F1171" t="s">
        <v>3131</v>
      </c>
      <c r="G1171" s="2" t="s">
        <v>4301</v>
      </c>
      <c r="H1171">
        <v>6.685E-05</v>
      </c>
      <c r="I1171">
        <v>5.005E-05</v>
      </c>
      <c r="J1171">
        <v>0.0001169</v>
      </c>
    </row>
    <row r="1172" spans="1:10">
      <c r="A1172">
        <f>HYPERLINK("https://mega.nz/file/SZMSSAyA#j6-5ljvYacojc9XzEoqHSg73YGJ4GKV7OvGCbVD0_uc", "Running Magical Workshops")</f>
        <v>0</v>
      </c>
      <c r="B1172" t="s">
        <v>365</v>
      </c>
      <c r="C1172" t="s">
        <v>1620</v>
      </c>
      <c r="D1172" t="s">
        <v>2951</v>
      </c>
      <c r="E1172" t="s">
        <v>3117</v>
      </c>
      <c r="F1172" t="s">
        <v>3131</v>
      </c>
      <c r="G1172" s="2" t="s">
        <v>4302</v>
      </c>
      <c r="H1172">
        <v>5.845E-05</v>
      </c>
      <c r="I1172">
        <v>5.425E-05</v>
      </c>
      <c r="J1172">
        <v>0.0001127</v>
      </c>
    </row>
    <row r="1173" spans="1:10">
      <c r="A1173">
        <f>HYPERLINK("https://mega.nz/file/jE1A0a4C#tqylqJHmAAtjiRDkdqdwL2-K-5rHFPHtrx5TMRPgIWo", "Shamanism")</f>
        <v>0</v>
      </c>
      <c r="B1173" t="s">
        <v>365</v>
      </c>
      <c r="C1173" t="s">
        <v>1621</v>
      </c>
      <c r="D1173" t="s">
        <v>2952</v>
      </c>
      <c r="E1173" t="s">
        <v>3117</v>
      </c>
      <c r="F1173" t="s">
        <v>3131</v>
      </c>
      <c r="G1173" s="2" t="s">
        <v>4303</v>
      </c>
      <c r="H1173">
        <v>5.915E-05</v>
      </c>
      <c r="I1173">
        <v>5.145E-05</v>
      </c>
      <c r="J1173">
        <v>0.0001106</v>
      </c>
    </row>
    <row r="1174" spans="1:10">
      <c r="A1174">
        <f>HYPERLINK("https://mega.nz/file/vZ8hFZKR#aVcGP_22M_gIO9b1jI1q0on7Jvw88zdxCc-alfc2oaY", "Shamanism 2")</f>
        <v>0</v>
      </c>
      <c r="B1174" t="s">
        <v>365</v>
      </c>
      <c r="C1174" t="s">
        <v>1622</v>
      </c>
      <c r="D1174" t="s">
        <v>2953</v>
      </c>
      <c r="E1174" t="s">
        <v>3117</v>
      </c>
      <c r="F1174" t="s">
        <v>3131</v>
      </c>
      <c r="G1174" s="2" t="s">
        <v>4304</v>
      </c>
      <c r="H1174">
        <v>6.055E-05</v>
      </c>
      <c r="I1174">
        <v>4.865E-05</v>
      </c>
      <c r="J1174">
        <v>0.0001092</v>
      </c>
    </row>
    <row r="1175" spans="1:10">
      <c r="A1175">
        <f>HYPERLINK("https://mega.nz/file/bdsw1KTC#I47H0NVLycs2Aq0zGYUKM_loFkQDO5HAcfG7pXarMl0", "Shamanism 3")</f>
        <v>0</v>
      </c>
      <c r="B1175" t="s">
        <v>365</v>
      </c>
      <c r="C1175" t="s">
        <v>1623</v>
      </c>
      <c r="D1175" t="s">
        <v>2954</v>
      </c>
      <c r="E1175" t="s">
        <v>3117</v>
      </c>
      <c r="F1175" t="s">
        <v>3131</v>
      </c>
      <c r="G1175" s="2" t="s">
        <v>4305</v>
      </c>
      <c r="H1175">
        <v>6.055E-05</v>
      </c>
      <c r="I1175">
        <v>5.635E-05</v>
      </c>
      <c r="J1175">
        <v>0.0001169</v>
      </c>
    </row>
    <row r="1176" spans="1:10">
      <c r="A1176">
        <f>HYPERLINK("https://mega.nz/file/SZ00na6Y#quQPt3y69dk2jZYrPF2xzd9RTWHu6KbWgxbbY9aZWbg", "TECHNIQUES OF MODERN SHAMANISM")</f>
        <v>0</v>
      </c>
      <c r="B1176" t="s">
        <v>365</v>
      </c>
      <c r="C1176" t="s">
        <v>1624</v>
      </c>
      <c r="D1176" t="s">
        <v>2955</v>
      </c>
      <c r="E1176" t="s">
        <v>3117</v>
      </c>
      <c r="F1176" t="s">
        <v>3131</v>
      </c>
      <c r="G1176" s="2" t="s">
        <v>4306</v>
      </c>
      <c r="H1176">
        <v>6.51E-05</v>
      </c>
      <c r="I1176">
        <v>5.11E-05</v>
      </c>
      <c r="J1176">
        <v>0.0001162</v>
      </c>
    </row>
    <row r="1177" spans="1:10">
      <c r="A1177">
        <f>HYPERLINK("https://mega.nz/file/bRFGTbZI#ajWW5dkVcWWIrKQHMJ2PwmBoebMlne4FovLVsukNYUI", "The Pseudonomicon")</f>
        <v>0</v>
      </c>
      <c r="B1177" t="s">
        <v>365</v>
      </c>
      <c r="C1177" t="s">
        <v>1625</v>
      </c>
      <c r="D1177" t="s">
        <v>2956</v>
      </c>
      <c r="E1177" t="s">
        <v>3117</v>
      </c>
      <c r="F1177" t="s">
        <v>3131</v>
      </c>
      <c r="G1177" s="2" t="s">
        <v>4307</v>
      </c>
      <c r="H1177">
        <v>5.95E-05</v>
      </c>
      <c r="I1177">
        <v>5.81E-05</v>
      </c>
      <c r="J1177">
        <v>0.0001176</v>
      </c>
    </row>
    <row r="1178" spans="1:10">
      <c r="A1178">
        <f>HYPERLINK("https://mega.nz/file/bckFVIiC#wH0Kb2DRhrf5nwgunK4lUfwXRLDvvw16TTN8JpnYxVE", "Diabolus las Mil Caras del Diablo a lo Largo de la Historia")</f>
        <v>0</v>
      </c>
      <c r="B1178" t="s">
        <v>366</v>
      </c>
      <c r="C1178" t="s">
        <v>1626</v>
      </c>
      <c r="D1178" t="s">
        <v>2957</v>
      </c>
      <c r="E1178" t="s">
        <v>3117</v>
      </c>
      <c r="F1178" t="s">
        <v>3130</v>
      </c>
      <c r="G1178" s="2" t="s">
        <v>4308</v>
      </c>
      <c r="H1178">
        <v>7.595E-05</v>
      </c>
      <c r="I1178">
        <v>6.615E-05</v>
      </c>
      <c r="J1178">
        <v>0.0001421</v>
      </c>
    </row>
    <row r="1179" spans="1:10">
      <c r="A1179">
        <f>HYPERLINK("https://mega.nz/file/SM0jFZoD#9ccnNnMIyL0mBOHk7Pkt1Bu7X7E-vqQ-Zh1IbrNBy_4", "Dios Judio Dios Cristiano")</f>
        <v>0</v>
      </c>
      <c r="B1179" t="s">
        <v>367</v>
      </c>
      <c r="C1179" t="s">
        <v>1627</v>
      </c>
      <c r="D1179" t="s">
        <v>2958</v>
      </c>
      <c r="E1179" t="s">
        <v>3117</v>
      </c>
      <c r="F1179" t="s">
        <v>3131</v>
      </c>
      <c r="G1179" s="2" t="s">
        <v>4309</v>
      </c>
      <c r="H1179">
        <v>6.51E-05</v>
      </c>
      <c r="I1179">
        <v>5.18E-05</v>
      </c>
      <c r="J1179">
        <v>0.0001169</v>
      </c>
    </row>
    <row r="1180" spans="1:10">
      <c r="A1180">
        <f>HYPERLINK("https://mega.nz/file/6R81lZrL#TfmF77axvM6cq_kfAhfIF_X49HY3be0qIhupSgFvCc4", "El Camino Hacia La Nueva Era")</f>
        <v>0</v>
      </c>
      <c r="B1180" t="s">
        <v>368</v>
      </c>
      <c r="C1180" t="s">
        <v>1628</v>
      </c>
      <c r="D1180" t="s">
        <v>2959</v>
      </c>
      <c r="E1180" t="s">
        <v>3117</v>
      </c>
      <c r="F1180" t="s">
        <v>3130</v>
      </c>
      <c r="G1180" s="2" t="s">
        <v>4310</v>
      </c>
      <c r="H1180">
        <v>6.58E-05</v>
      </c>
      <c r="I1180">
        <v>5.74E-05</v>
      </c>
      <c r="J1180">
        <v>0.0001232</v>
      </c>
    </row>
    <row r="1181" spans="1:10">
      <c r="A1181">
        <f>HYPERLINK("https://mega.nz/file/bQcUVC4I#Ifj8quqp8fEVKGMqmup7Iv7J6RfbizjiavA3CnsNHfk", "De ISIS y OSIRIS")</f>
        <v>0</v>
      </c>
      <c r="B1181" t="s">
        <v>369</v>
      </c>
      <c r="C1181" t="s">
        <v>1629</v>
      </c>
      <c r="D1181" t="s">
        <v>2960</v>
      </c>
      <c r="E1181" t="s">
        <v>3117</v>
      </c>
      <c r="F1181" t="s">
        <v>3130</v>
      </c>
      <c r="G1181" s="2" t="s">
        <v>4311</v>
      </c>
      <c r="H1181">
        <v>6.160000000000001E-05</v>
      </c>
      <c r="I1181">
        <v>6.195E-05</v>
      </c>
      <c r="J1181">
        <v>0.00012355</v>
      </c>
    </row>
    <row r="1182" spans="1:10">
      <c r="A1182">
        <f>HYPERLINK("https://mega.nz/file/DVVyVZIR#JiAYseIK4YCsrtj1Qgi89s_ZhmfVqJvSQTznc2zJJ-E", "Isis y Osiris")</f>
        <v>0</v>
      </c>
      <c r="B1182" t="s">
        <v>369</v>
      </c>
      <c r="C1182" t="s">
        <v>1630</v>
      </c>
      <c r="D1182" t="s">
        <v>2961</v>
      </c>
      <c r="E1182" t="s">
        <v>3117</v>
      </c>
      <c r="F1182" t="s">
        <v>3130</v>
      </c>
      <c r="G1182" s="2" t="s">
        <v>4312</v>
      </c>
      <c r="H1182">
        <v>6.055E-05</v>
      </c>
      <c r="I1182">
        <v>6.719999999999999E-05</v>
      </c>
      <c r="J1182">
        <v>0.00012775</v>
      </c>
    </row>
    <row r="1183" spans="1:10">
      <c r="A1183">
        <f>HYPERLINK("https://mega.nz/file/aQ1gGLbR#poKEDK-0-0BaVwVQVr8kuOWLYxWp72Jqsd2gaRw72Us", "Servidores De La Luz")</f>
        <v>0</v>
      </c>
      <c r="B1183" t="s">
        <v>370</v>
      </c>
      <c r="C1183" t="s">
        <v>1631</v>
      </c>
      <c r="D1183" t="s">
        <v>2962</v>
      </c>
      <c r="E1183" t="s">
        <v>3117</v>
      </c>
      <c r="F1183" t="s">
        <v>3130</v>
      </c>
      <c r="G1183" s="2" t="s">
        <v>4313</v>
      </c>
      <c r="H1183">
        <v>5.95E-05</v>
      </c>
      <c r="I1183">
        <v>5.53E-05</v>
      </c>
      <c r="J1183">
        <v>0.0001148</v>
      </c>
    </row>
    <row r="1184" spans="1:10">
      <c r="A1184">
        <f>HYPERLINK("https://mega.nz/file/LYdAQSRK#r1jTq2KjbGDbUaM38pJK_M-NGT-5UTUmOyurfhVkPJQ", "Los Misterios De Los Templarios")</f>
        <v>0</v>
      </c>
      <c r="B1184" t="s">
        <v>371</v>
      </c>
      <c r="C1184" t="s">
        <v>1632</v>
      </c>
      <c r="D1184" t="s">
        <v>2963</v>
      </c>
      <c r="E1184" t="s">
        <v>3120</v>
      </c>
      <c r="F1184" t="s">
        <v>3130</v>
      </c>
      <c r="G1184" s="2" t="s">
        <v>4314</v>
      </c>
      <c r="H1184">
        <v>6.475E-05</v>
      </c>
      <c r="I1184">
        <v>6.545000000000001E-05</v>
      </c>
      <c r="J1184">
        <v>0.0001302</v>
      </c>
    </row>
    <row r="1185" spans="1:10">
      <c r="A1185">
        <f>HYPERLINK("https://mega.nz/file/PY8iUQ7S#O0ooyH8glfRxS7oCMkmjBMPASHFj7IRsL7kUvMLXRcI", "Oráculos Caldeos: Fragmentos y testimonios")</f>
        <v>0</v>
      </c>
      <c r="B1185" t="s">
        <v>372</v>
      </c>
      <c r="C1185" t="s">
        <v>1633</v>
      </c>
      <c r="D1185" t="s">
        <v>2964</v>
      </c>
      <c r="E1185" t="s">
        <v>3117</v>
      </c>
      <c r="F1185" t="s">
        <v>3130</v>
      </c>
      <c r="G1185" s="2" t="s">
        <v>4315</v>
      </c>
      <c r="H1185">
        <v>8.82E-05</v>
      </c>
      <c r="I1185">
        <v>7.035E-05</v>
      </c>
      <c r="J1185">
        <v>0.00015855</v>
      </c>
    </row>
    <row r="1186" spans="1:10">
      <c r="A1186">
        <f>HYPERLINK("https://mega.nz/file/zJEAjR4I#0BL_yofOnZ0HITlOHb5VSVTabVfzf_eTqGLvzDpyoHA", "Presumed Opposition")</f>
        <v>0</v>
      </c>
      <c r="B1186" t="s">
        <v>373</v>
      </c>
      <c r="C1186" t="s">
        <v>1634</v>
      </c>
      <c r="D1186" t="s">
        <v>2965</v>
      </c>
      <c r="E1186" t="s">
        <v>3117</v>
      </c>
      <c r="F1186" t="s">
        <v>3131</v>
      </c>
      <c r="G1186" s="2" t="s">
        <v>4316</v>
      </c>
      <c r="H1186">
        <v>5.635E-05</v>
      </c>
      <c r="I1186">
        <v>5.32E-05</v>
      </c>
      <c r="J1186">
        <v>0.00010955</v>
      </c>
    </row>
    <row r="1187" spans="1:10">
      <c r="A1187">
        <f>HYPERLINK("https://mega.nz/file/fAUECAQQ#2zIFsxWFoy5Q5r8Pv0Wxtg2eKs5FExlB0ew0XeuKFT4", "Manual De Ejercicios Pleyadianos")</f>
        <v>0</v>
      </c>
      <c r="B1187" t="s">
        <v>374</v>
      </c>
      <c r="C1187" t="s">
        <v>1635</v>
      </c>
      <c r="D1187" t="s">
        <v>2966</v>
      </c>
      <c r="E1187" t="s">
        <v>3117</v>
      </c>
      <c r="F1187" t="s">
        <v>3130</v>
      </c>
      <c r="G1187" s="2" t="s">
        <v>4317</v>
      </c>
      <c r="H1187">
        <v>6.58E-05</v>
      </c>
      <c r="I1187">
        <v>6.23E-05</v>
      </c>
      <c r="J1187">
        <v>0.0001281</v>
      </c>
    </row>
    <row r="1188" spans="1:10">
      <c r="A1188">
        <f>HYPERLINK("https://mega.nz/file/jQ1D2DST#glJdHFhQgEREcbs6yoO0VNQFrSk9xSF5QiF57G3vqv0", "El libro de la brujeria sajona")</f>
        <v>0</v>
      </c>
      <c r="B1188" t="s">
        <v>375</v>
      </c>
      <c r="C1188" t="s">
        <v>1636</v>
      </c>
      <c r="D1188" t="s">
        <v>2967</v>
      </c>
      <c r="E1188" t="s">
        <v>3117</v>
      </c>
      <c r="F1188" t="s">
        <v>3130</v>
      </c>
      <c r="G1188" s="2" t="s">
        <v>4318</v>
      </c>
      <c r="H1188">
        <v>6.825000000000001E-05</v>
      </c>
      <c r="I1188">
        <v>6.58E-05</v>
      </c>
      <c r="J1188">
        <v>0.00013405</v>
      </c>
    </row>
    <row r="1189" spans="1:10">
      <c r="A1189">
        <f>HYPERLINK("https://mega.nz/file/aJtHwSQI#5xYXT0XQPjs5_O2upbvWRXVRmkmp-mJCnK866uVnTrM", "Sentido Teologico de La Muerte")</f>
        <v>0</v>
      </c>
      <c r="B1189" t="s">
        <v>376</v>
      </c>
      <c r="C1189" t="s">
        <v>1637</v>
      </c>
      <c r="D1189" t="s">
        <v>2968</v>
      </c>
      <c r="E1189" t="s">
        <v>3117</v>
      </c>
      <c r="F1189" t="s">
        <v>3130</v>
      </c>
      <c r="G1189" s="2" t="s">
        <v>4319</v>
      </c>
      <c r="H1189">
        <v>6.545000000000001E-05</v>
      </c>
      <c r="I1189">
        <v>6.02E-05</v>
      </c>
      <c r="J1189">
        <v>0.00012565</v>
      </c>
    </row>
    <row r="1190" spans="1:10">
      <c r="A1190">
        <f>HYPERLINK("https://mega.nz/file/KIUEgRBA#6qmDeNka3eb8HlidUUH8me5AsH3-0hmKko_Bjc8q6pM", "The New Book Of Runes")</f>
        <v>0</v>
      </c>
      <c r="B1190" t="s">
        <v>377</v>
      </c>
      <c r="C1190" t="s">
        <v>1638</v>
      </c>
      <c r="D1190" t="s">
        <v>2969</v>
      </c>
      <c r="E1190" t="s">
        <v>3124</v>
      </c>
      <c r="F1190" t="s">
        <v>3131</v>
      </c>
      <c r="G1190" s="2" t="s">
        <v>4320</v>
      </c>
      <c r="H1190">
        <v>6.055E-05</v>
      </c>
      <c r="I1190">
        <v>5.355E-05</v>
      </c>
      <c r="J1190">
        <v>0.0001141</v>
      </c>
    </row>
    <row r="1191" spans="1:10">
      <c r="A1191">
        <f>HYPERLINK("https://mega.nz/file/7VVTiD5Z#fV8lsj6xDd7InHtikLIraN9O4gv4GJ8UZTQiJmmY4NM", "Blast Your Way to Megabucks")</f>
        <v>0</v>
      </c>
      <c r="B1191" t="s">
        <v>378</v>
      </c>
      <c r="C1191" t="s">
        <v>1639</v>
      </c>
      <c r="D1191" t="s">
        <v>2970</v>
      </c>
      <c r="E1191" t="s">
        <v>3117</v>
      </c>
      <c r="F1191" t="s">
        <v>3131</v>
      </c>
      <c r="G1191" s="2" t="s">
        <v>4321</v>
      </c>
      <c r="H1191">
        <v>6.265E-05</v>
      </c>
      <c r="I1191">
        <v>6.125E-05</v>
      </c>
      <c r="J1191">
        <v>0.0001239</v>
      </c>
    </row>
    <row r="1192" spans="1:10">
      <c r="A1192">
        <f>HYPERLINK("https://mega.nz/file/mMVBRSiT#aX1tVpcByxId720qIO2PHA0e5VP-EAauy9x782s3dDU", "Sex Secrets Of The Black Magicians Exposed")</f>
        <v>0</v>
      </c>
      <c r="B1192" t="s">
        <v>378</v>
      </c>
      <c r="C1192" t="s">
        <v>1640</v>
      </c>
      <c r="D1192" t="s">
        <v>2971</v>
      </c>
      <c r="E1192" t="s">
        <v>3117</v>
      </c>
      <c r="F1192" t="s">
        <v>3131</v>
      </c>
      <c r="G1192" s="2" t="s">
        <v>4322</v>
      </c>
      <c r="H1192">
        <v>6.37E-05</v>
      </c>
      <c r="I1192">
        <v>5.74E-05</v>
      </c>
      <c r="J1192">
        <v>0.0001211</v>
      </c>
    </row>
    <row r="1193" spans="1:10">
      <c r="A1193">
        <f>HYPERLINK("https://mega.nz/file/SZU2FaJS#gpcrRBlNQsjzWpaVuce91qDq8R1zKLSRP1KVB2sEqWM", "Spare Parts")</f>
        <v>0</v>
      </c>
      <c r="B1193" t="s">
        <v>378</v>
      </c>
      <c r="C1193" t="s">
        <v>1641</v>
      </c>
      <c r="D1193" t="s">
        <v>2972</v>
      </c>
      <c r="E1193" t="s">
        <v>3117</v>
      </c>
      <c r="F1193" t="s">
        <v>3131</v>
      </c>
      <c r="G1193" s="2" t="s">
        <v>4323</v>
      </c>
      <c r="H1193">
        <v>5.705E-05</v>
      </c>
      <c r="I1193">
        <v>5.53E-05</v>
      </c>
      <c r="J1193">
        <v>0.00011235</v>
      </c>
    </row>
    <row r="1194" spans="1:10">
      <c r="A1194">
        <f>HYPERLINK("https://mega.nz/file/mQs2wRbQ#pPLJij-mSpACEXBNfE452LMg9_NmrBA4AZsIDe1slII", "Thundersqueak")</f>
        <v>0</v>
      </c>
      <c r="B1194" t="s">
        <v>378</v>
      </c>
      <c r="C1194" t="s">
        <v>1642</v>
      </c>
      <c r="D1194" t="s">
        <v>2973</v>
      </c>
      <c r="E1194" t="s">
        <v>3117</v>
      </c>
      <c r="F1194" t="s">
        <v>3131</v>
      </c>
      <c r="G1194" s="2" t="s">
        <v>4324</v>
      </c>
      <c r="H1194">
        <v>5.95E-05</v>
      </c>
      <c r="I1194">
        <v>5.6E-05</v>
      </c>
      <c r="J1194">
        <v>0.0001155</v>
      </c>
    </row>
    <row r="1195" spans="1:10">
      <c r="A1195">
        <f>HYPERLINK("https://mega.nz/file/fMFEHCQJ#CC8SEoX-spJO5vxIVf0TcnsHOoSL2Ls-ruvppw-ANF4", "The Dead Have Never Died")</f>
        <v>0</v>
      </c>
      <c r="B1195" t="s">
        <v>379</v>
      </c>
      <c r="C1195" t="s">
        <v>1643</v>
      </c>
      <c r="D1195" t="s">
        <v>2974</v>
      </c>
      <c r="E1195" t="s">
        <v>3117</v>
      </c>
      <c r="F1195" t="s">
        <v>3131</v>
      </c>
      <c r="G1195" s="2" t="s">
        <v>4325</v>
      </c>
      <c r="H1195">
        <v>5.95E-05</v>
      </c>
      <c r="I1195">
        <v>5.25E-05</v>
      </c>
      <c r="J1195">
        <v>0.000112</v>
      </c>
    </row>
    <row r="1196" spans="1:10">
      <c r="A1196">
        <f>HYPERLINK("https://mega.nz/file/zEU3AJ4C#nR4dCKFDDr0NKY5LSQazI0dUbf4KlYV4QD5-Vo7UthQ", "Ritual y religion en la formacion de la humanidad")</f>
        <v>0</v>
      </c>
      <c r="B1196" t="s">
        <v>380</v>
      </c>
      <c r="C1196" t="s">
        <v>1644</v>
      </c>
      <c r="D1196" t="s">
        <v>2975</v>
      </c>
      <c r="E1196" t="s">
        <v>3117</v>
      </c>
      <c r="F1196" t="s">
        <v>3130</v>
      </c>
      <c r="G1196" s="2" t="s">
        <v>4326</v>
      </c>
      <c r="H1196">
        <v>6.999999999999999E-05</v>
      </c>
      <c r="I1196">
        <v>6.475E-05</v>
      </c>
      <c r="J1196">
        <v>0.00013475</v>
      </c>
    </row>
    <row r="1197" spans="1:10">
      <c r="A1197">
        <f>HYPERLINK("https://mega.nz/file/nNkWEbQb#zytq6YRiaO0ChGowmLxlfQUYTw04c8GuV1Mc3_hxjz8", "Astrologia Cabalistica")</f>
        <v>0</v>
      </c>
      <c r="B1197" t="s">
        <v>381</v>
      </c>
      <c r="C1197" t="s">
        <v>1645</v>
      </c>
      <c r="D1197" t="s">
        <v>2976</v>
      </c>
      <c r="E1197" t="s">
        <v>3121</v>
      </c>
      <c r="F1197" t="s">
        <v>3131</v>
      </c>
      <c r="G1197" s="2" t="s">
        <v>4327</v>
      </c>
      <c r="H1197">
        <v>6.405E-05</v>
      </c>
      <c r="I1197">
        <v>5.075E-05</v>
      </c>
      <c r="J1197">
        <v>0.0001148</v>
      </c>
    </row>
    <row r="1198" spans="1:10">
      <c r="A1198">
        <f>HYPERLINK("https://mega.nz/file/qM8AFYhb#yRz36VYJozD51CUSsp4QYxk5BQXMgw8098qlwm875yI", "Misterios Develados")</f>
        <v>0</v>
      </c>
      <c r="B1198" t="s">
        <v>382</v>
      </c>
      <c r="C1198" t="s">
        <v>1646</v>
      </c>
      <c r="D1198" t="s">
        <v>2977</v>
      </c>
      <c r="E1198" t="s">
        <v>3117</v>
      </c>
      <c r="F1198" t="s">
        <v>3130</v>
      </c>
      <c r="G1198" s="2" t="s">
        <v>4328</v>
      </c>
      <c r="H1198">
        <v>6.23E-05</v>
      </c>
      <c r="I1198">
        <v>5.635E-05</v>
      </c>
      <c r="J1198">
        <v>0.00011865</v>
      </c>
    </row>
    <row r="1199" spans="1:10">
      <c r="A1199">
        <f>HYPERLINK("https://mega.nz/file/Wc0iSDxD#T_2j2dGDGIQU7CC4EVVnhxVvWIH_rWjU7q2cVPQynyg", "The Book of Results")</f>
        <v>0</v>
      </c>
      <c r="B1199" t="s">
        <v>383</v>
      </c>
      <c r="C1199" t="s">
        <v>1647</v>
      </c>
      <c r="D1199" t="s">
        <v>2978</v>
      </c>
      <c r="E1199" t="s">
        <v>3117</v>
      </c>
      <c r="F1199" t="s">
        <v>3131</v>
      </c>
      <c r="G1199" s="2" t="s">
        <v>4329</v>
      </c>
      <c r="H1199">
        <v>6.125E-05</v>
      </c>
      <c r="I1199">
        <v>5.18E-05</v>
      </c>
      <c r="J1199">
        <v>0.00011305</v>
      </c>
    </row>
    <row r="1200" spans="1:10">
      <c r="A1200">
        <f>HYPERLINK("https://mega.nz/file/rQNkgZKC#wA0tSI5Mpphhmv7bLrvS_CzmbZtGQKwlw-wWwWADsgA", "The Theatre of Magick")</f>
        <v>0</v>
      </c>
      <c r="B1200" t="s">
        <v>383</v>
      </c>
      <c r="C1200" t="s">
        <v>1648</v>
      </c>
      <c r="D1200" t="s">
        <v>2979</v>
      </c>
      <c r="E1200" t="s">
        <v>3117</v>
      </c>
      <c r="F1200" t="s">
        <v>3131</v>
      </c>
      <c r="G1200" s="2" t="s">
        <v>4330</v>
      </c>
      <c r="H1200">
        <v>6.055E-05</v>
      </c>
      <c r="I1200">
        <v>5.425E-05</v>
      </c>
      <c r="J1200">
        <v>0.0001148</v>
      </c>
    </row>
    <row r="1201" spans="1:10">
      <c r="A1201">
        <f>HYPERLINK("https://mega.nz/file/iYU2UJSL#RmAIdNAeRRjRjPK8eeNTdKhquFiqeN4Qb1aKnxGEBQk", "YYY")</f>
        <v>0</v>
      </c>
      <c r="B1201" t="s">
        <v>384</v>
      </c>
      <c r="C1201" t="s">
        <v>1649</v>
      </c>
      <c r="D1201" t="s">
        <v>2980</v>
      </c>
      <c r="E1201" t="s">
        <v>3117</v>
      </c>
      <c r="F1201" t="s">
        <v>3131</v>
      </c>
      <c r="G1201" s="2" t="s">
        <v>4331</v>
      </c>
      <c r="H1201">
        <v>6.265E-05</v>
      </c>
      <c r="I1201">
        <v>5.495E-05</v>
      </c>
      <c r="J1201">
        <v>0.0001176</v>
      </c>
    </row>
    <row r="1202" spans="1:10">
      <c r="A1202">
        <f>HYPERLINK("https://mega.nz/file/eddE3QaL#MEvtj92GnvfIbPxHQ9JhL_5iguLY1JIiVggnXbxdr9I", "The Book Of Raizel")</f>
        <v>0</v>
      </c>
      <c r="B1202" t="s">
        <v>385</v>
      </c>
      <c r="C1202" t="s">
        <v>1650</v>
      </c>
      <c r="D1202" t="s">
        <v>2981</v>
      </c>
      <c r="E1202" t="s">
        <v>3117</v>
      </c>
      <c r="F1202" t="s">
        <v>3131</v>
      </c>
      <c r="G1202" s="2" t="s">
        <v>4332</v>
      </c>
      <c r="H1202">
        <v>6.265E-05</v>
      </c>
      <c r="I1202">
        <v>5.355E-05</v>
      </c>
      <c r="J1202">
        <v>0.0001162</v>
      </c>
    </row>
    <row r="1203" spans="1:10">
      <c r="A1203">
        <f>HYPERLINK("https://mega.nz/file/KMtkERZA#kwMMexGq8z7hrvH9T1uqgjeF7UvBG-UuQHz3r1vyE1E", "Inverosimil Fenomenos Inexplicables")</f>
        <v>0</v>
      </c>
      <c r="B1203" t="s">
        <v>386</v>
      </c>
      <c r="C1203" t="s">
        <v>1651</v>
      </c>
      <c r="D1203" t="s">
        <v>2982</v>
      </c>
      <c r="E1203" t="s">
        <v>3117</v>
      </c>
      <c r="F1203" t="s">
        <v>3131</v>
      </c>
      <c r="G1203" s="2" t="s">
        <v>4333</v>
      </c>
      <c r="H1203">
        <v>6.545000000000001E-05</v>
      </c>
      <c r="I1203">
        <v>6.09E-05</v>
      </c>
      <c r="J1203">
        <v>0.00012635</v>
      </c>
    </row>
    <row r="1204" spans="1:10">
      <c r="A1204">
        <f>HYPERLINK("https://mega.nz/file/2EEw3RpL#WOosH3sQIr1fFgOYH_qGa5NOXjqtdrtP8UP-8XPjQak", "Como Llegar A Ser Una Vasija Para Honra")</f>
        <v>0</v>
      </c>
      <c r="B1204" t="s">
        <v>387</v>
      </c>
      <c r="C1204" t="s">
        <v>1652</v>
      </c>
      <c r="D1204" t="s">
        <v>2983</v>
      </c>
      <c r="E1204" t="s">
        <v>3117</v>
      </c>
      <c r="F1204" t="s">
        <v>3130</v>
      </c>
      <c r="G1204" s="2" t="s">
        <v>4334</v>
      </c>
      <c r="H1204">
        <v>6.545000000000001E-05</v>
      </c>
      <c r="I1204">
        <v>5.6E-05</v>
      </c>
      <c r="J1204">
        <v>0.00012145</v>
      </c>
    </row>
    <row r="1205" spans="1:10">
      <c r="A1205">
        <f>HYPERLINK("https://mega.nz/file/CU8EEBLL#XRrG1pI3zBnWWqJ5049DzuI8kOOAL5W2lOUdL16jzBo", "Anthology 02 Books of the Apocrypha")</f>
        <v>0</v>
      </c>
      <c r="B1205" t="s">
        <v>388</v>
      </c>
      <c r="C1205" t="s">
        <v>1653</v>
      </c>
      <c r="D1205" t="s">
        <v>2984</v>
      </c>
      <c r="E1205" t="s">
        <v>3117</v>
      </c>
      <c r="F1205" t="s">
        <v>3131</v>
      </c>
      <c r="G1205" s="2" t="s">
        <v>4335</v>
      </c>
      <c r="H1205">
        <v>6.86E-05</v>
      </c>
      <c r="I1205">
        <v>5.845E-05</v>
      </c>
      <c r="J1205">
        <v>0.00012705</v>
      </c>
    </row>
    <row r="1206" spans="1:10">
      <c r="A1206">
        <f>HYPERLINK("https://mega.nz/file/2YMyFCIK#kvfMM9SGJSCBvtRzKj3e6g993qeQe93FQKUO3OXzy0o", "Anthology 03 Books of the Liturgy")</f>
        <v>0</v>
      </c>
      <c r="B1206" t="s">
        <v>388</v>
      </c>
      <c r="C1206" t="s">
        <v>1654</v>
      </c>
      <c r="D1206" t="s">
        <v>2985</v>
      </c>
      <c r="E1206" t="s">
        <v>3117</v>
      </c>
      <c r="F1206" t="s">
        <v>3131</v>
      </c>
      <c r="G1206" s="2" t="s">
        <v>4336</v>
      </c>
      <c r="H1206">
        <v>6.65E-05</v>
      </c>
      <c r="I1206">
        <v>5.075E-05</v>
      </c>
      <c r="J1206">
        <v>0.00011725</v>
      </c>
    </row>
    <row r="1207" spans="1:10">
      <c r="A1207">
        <f>HYPERLINK("https://mega.nz/file/bAkXUJ6D#utCo2PV5DefrUAV7cvzCB25rPv6s6osn7eXKX04KYaM", "Anthology 04 Laws, Trivia and Calendars")</f>
        <v>0</v>
      </c>
      <c r="B1207" t="s">
        <v>388</v>
      </c>
      <c r="C1207" t="s">
        <v>1655</v>
      </c>
      <c r="D1207" t="s">
        <v>2986</v>
      </c>
      <c r="E1207" t="s">
        <v>3117</v>
      </c>
      <c r="F1207" t="s">
        <v>3131</v>
      </c>
      <c r="G1207" s="2" t="s">
        <v>4337</v>
      </c>
      <c r="H1207">
        <v>6.755E-05</v>
      </c>
      <c r="I1207">
        <v>5.39E-05</v>
      </c>
      <c r="J1207">
        <v>0.00012145</v>
      </c>
    </row>
    <row r="1208" spans="1:10">
      <c r="A1208">
        <f>HYPERLINK("https://mega.nz/file/3VMRlZbD#tuYjI-UpfL_FOkr27_z6q66q8cG_jkiAqxEsrA-vi90", "Anthology 06 The Green Books")</f>
        <v>0</v>
      </c>
      <c r="B1208" t="s">
        <v>388</v>
      </c>
      <c r="C1208" t="s">
        <v>1656</v>
      </c>
      <c r="D1208" t="s">
        <v>2987</v>
      </c>
      <c r="E1208" t="s">
        <v>3117</v>
      </c>
      <c r="F1208" t="s">
        <v>3131</v>
      </c>
      <c r="G1208" s="2" t="s">
        <v>4338</v>
      </c>
      <c r="H1208">
        <v>6.439999999999999E-05</v>
      </c>
      <c r="I1208">
        <v>5.915E-05</v>
      </c>
      <c r="J1208">
        <v>0.00012355</v>
      </c>
    </row>
    <row r="1209" spans="1:10">
      <c r="A1209">
        <f>HYPERLINK("https://mega.nz/file/3FdyBCoZ#rfl6mpNKeA5ANzOnOkI6XDz3iN0_YLsUSnEO35kU_t0", "Anthology 07 Miscellany")</f>
        <v>0</v>
      </c>
      <c r="B1209" t="s">
        <v>388</v>
      </c>
      <c r="C1209" t="s">
        <v>1657</v>
      </c>
      <c r="D1209" t="s">
        <v>2988</v>
      </c>
      <c r="E1209" t="s">
        <v>3117</v>
      </c>
      <c r="F1209" t="s">
        <v>3131</v>
      </c>
      <c r="G1209" s="2" t="s">
        <v>4339</v>
      </c>
      <c r="H1209">
        <v>6.439999999999999E-05</v>
      </c>
      <c r="I1209">
        <v>5.285E-05</v>
      </c>
      <c r="J1209">
        <v>0.00011725</v>
      </c>
    </row>
    <row r="1210" spans="1:10">
      <c r="A1210">
        <f>HYPERLINK("https://mega.nz/file/rI8l3IYD#dz6rtNlX1NZ5-i02EoJE6cGzNTXNto9-bA05Oj7Hf_I", "Anthology 08 A General History")</f>
        <v>0</v>
      </c>
      <c r="B1210" t="s">
        <v>388</v>
      </c>
      <c r="C1210" t="s">
        <v>1658</v>
      </c>
      <c r="D1210" t="s">
        <v>2989</v>
      </c>
      <c r="E1210" t="s">
        <v>3117</v>
      </c>
      <c r="F1210" t="s">
        <v>3131</v>
      </c>
      <c r="G1210" s="2" t="s">
        <v>4340</v>
      </c>
      <c r="H1210">
        <v>6.439999999999999E-05</v>
      </c>
      <c r="I1210">
        <v>5.075E-05</v>
      </c>
      <c r="J1210">
        <v>0.00011515</v>
      </c>
    </row>
    <row r="1211" spans="1:10">
      <c r="A1211">
        <f>HYPERLINK("https://mega.nz/file/Xc10XDJK#R3io6Vk3g59dfR7AWNuYhkkR59Ietfhv6BOwXqYGn4I", "Anthology 09 The Books of the Latter Day Reformed Druidss")</f>
        <v>0</v>
      </c>
      <c r="B1211" t="s">
        <v>388</v>
      </c>
      <c r="C1211" t="s">
        <v>1659</v>
      </c>
      <c r="D1211" t="s">
        <v>2990</v>
      </c>
      <c r="E1211" t="s">
        <v>3117</v>
      </c>
      <c r="F1211" t="s">
        <v>3131</v>
      </c>
      <c r="G1211" s="2" t="s">
        <v>4341</v>
      </c>
      <c r="H1211">
        <v>7.175E-05</v>
      </c>
      <c r="I1211">
        <v>6.09E-05</v>
      </c>
      <c r="J1211">
        <v>0.00013265</v>
      </c>
    </row>
    <row r="1212" spans="1:10">
      <c r="A1212">
        <f>HYPERLINK("https://mega.nz/file/3cdhUTCa#2AtovY5-KqAAKjxhT4Lx91g5ooCUYlVmuwdGaA8K-k0", "Anthology 10 Oral Histories")</f>
        <v>0</v>
      </c>
      <c r="B1212" t="s">
        <v>388</v>
      </c>
      <c r="C1212" t="s">
        <v>1660</v>
      </c>
      <c r="D1212" t="s">
        <v>2991</v>
      </c>
      <c r="E1212" t="s">
        <v>3117</v>
      </c>
      <c r="F1212" t="s">
        <v>3131</v>
      </c>
      <c r="G1212" s="2" t="s">
        <v>4342</v>
      </c>
      <c r="H1212">
        <v>6.334999999999999E-05</v>
      </c>
      <c r="I1212">
        <v>5.53E-05</v>
      </c>
      <c r="J1212">
        <v>0.00011865</v>
      </c>
    </row>
    <row r="1213" spans="1:10">
      <c r="A1213">
        <f>HYPERLINK("https://mega.nz/file/PcEFxYyC#uMSTVGo-8fUf2-__-EFtpBPD_VyoNeS9mGcSt1TaeRw", "Arbol Vida 1a Parte")</f>
        <v>0</v>
      </c>
      <c r="B1213" t="s">
        <v>389</v>
      </c>
      <c r="C1213" t="s">
        <v>1661</v>
      </c>
      <c r="D1213" t="s">
        <v>2992</v>
      </c>
      <c r="E1213" t="s">
        <v>3117</v>
      </c>
      <c r="F1213" t="s">
        <v>3131</v>
      </c>
      <c r="G1213" s="2" t="s">
        <v>4343</v>
      </c>
      <c r="H1213">
        <v>6.265E-05</v>
      </c>
      <c r="I1213">
        <v>5.565E-05</v>
      </c>
      <c r="J1213">
        <v>0.0001183</v>
      </c>
    </row>
    <row r="1214" spans="1:10">
      <c r="A1214">
        <f>HYPERLINK("https://mega.nz/file/KNERGD7A#nnWvrcgd3PcmfXvBD37bMd6vSXxrWIUFUDP31EC1Bgs", "Mas Alla de Angeles y Demonios el Secreto de los Illuminati y la Gran Conspiracion")</f>
        <v>0</v>
      </c>
      <c r="B1214" t="s">
        <v>390</v>
      </c>
      <c r="C1214" t="s">
        <v>1662</v>
      </c>
      <c r="D1214" t="s">
        <v>2993</v>
      </c>
      <c r="E1214" t="s">
        <v>3127</v>
      </c>
      <c r="F1214" t="s">
        <v>3130</v>
      </c>
      <c r="G1214" s="2" t="s">
        <v>4344</v>
      </c>
      <c r="H1214">
        <v>8.330000000000001E-05</v>
      </c>
      <c r="I1214">
        <v>6.615E-05</v>
      </c>
      <c r="J1214">
        <v>0.00014945</v>
      </c>
    </row>
    <row r="1215" spans="1:10">
      <c r="A1215">
        <f>HYPERLINK("https://mega.nz/file/2U9QSDgZ#w60aDQ6kfpnRlCeqmoIy5P88q39d1NQqruDFosmjLEE", "Magical and Ritual Uses of Common Herbs")</f>
        <v>0</v>
      </c>
      <c r="B1215" t="s">
        <v>391</v>
      </c>
      <c r="C1215" t="s">
        <v>1663</v>
      </c>
      <c r="D1215" t="s">
        <v>2994</v>
      </c>
      <c r="E1215" t="s">
        <v>3117</v>
      </c>
      <c r="F1215" t="s">
        <v>3131</v>
      </c>
      <c r="G1215" s="2" t="s">
        <v>4345</v>
      </c>
      <c r="H1215">
        <v>6.334999999999999E-05</v>
      </c>
      <c r="I1215">
        <v>4.62E-05</v>
      </c>
      <c r="J1215">
        <v>0.00010955</v>
      </c>
    </row>
    <row r="1216" spans="1:10">
      <c r="A1216">
        <f>HYPERLINK("https://mega.nz/file/mN0ShApY#CNShwoYsRLWWjkBpUSkViM4821Tz2D08hTyl6mfKu_A", "Frogs into Princes")</f>
        <v>0</v>
      </c>
      <c r="B1216" t="s">
        <v>392</v>
      </c>
      <c r="C1216" t="s">
        <v>1664</v>
      </c>
      <c r="D1216" t="s">
        <v>2995</v>
      </c>
      <c r="E1216" t="s">
        <v>3117</v>
      </c>
      <c r="F1216" t="s">
        <v>3131</v>
      </c>
      <c r="G1216" s="2" t="s">
        <v>4346</v>
      </c>
      <c r="H1216">
        <v>5.95E-05</v>
      </c>
      <c r="I1216">
        <v>5.74E-05</v>
      </c>
      <c r="J1216">
        <v>0.0001169</v>
      </c>
    </row>
    <row r="1217" spans="1:10">
      <c r="A1217">
        <f>HYPERLINK("https://mega.nz/file/DNFVBToJ#qZRXhK5cemZgI3WKZ-nFLppL65V5xTZrbn-kLsG_W20", "The Adventures of Anybody")</f>
        <v>0</v>
      </c>
      <c r="B1217" t="s">
        <v>392</v>
      </c>
      <c r="C1217" t="s">
        <v>1665</v>
      </c>
      <c r="D1217" t="s">
        <v>2996</v>
      </c>
      <c r="E1217" t="s">
        <v>3117</v>
      </c>
      <c r="F1217" t="s">
        <v>3131</v>
      </c>
      <c r="G1217" s="2" t="s">
        <v>4347</v>
      </c>
      <c r="H1217">
        <v>5.95E-05</v>
      </c>
      <c r="I1217">
        <v>5.39E-05</v>
      </c>
      <c r="J1217">
        <v>0.0001134</v>
      </c>
    </row>
    <row r="1218" spans="1:10">
      <c r="A1218">
        <f>HYPERLINK("https://mega.nz/file/jVcyRbRS#2uFxZ2FfVf163fwOPkpXCMabrRzrgouavw6VIdKnseE", "Trance-formations - NLP &amp; the Structure of Hypnosis")</f>
        <v>0</v>
      </c>
      <c r="B1218" t="s">
        <v>392</v>
      </c>
      <c r="C1218" t="s">
        <v>1666</v>
      </c>
      <c r="D1218" t="s">
        <v>2997</v>
      </c>
      <c r="E1218" t="s">
        <v>3117</v>
      </c>
      <c r="F1218" t="s">
        <v>3131</v>
      </c>
      <c r="G1218" s="2" t="s">
        <v>4348</v>
      </c>
      <c r="H1218">
        <v>6.79E-05</v>
      </c>
      <c r="I1218">
        <v>4.97E-05</v>
      </c>
      <c r="J1218">
        <v>0.0001176</v>
      </c>
    </row>
    <row r="1219" spans="1:10">
      <c r="A1219">
        <f>HYPERLINK("https://mega.nz/file/yYMVyZaI#6SWLFcrXl7a8C7rVijDHioi79_3d5BdHd5-rG9bqQv0", "Treating nonsense with nonsense - Strategies for a better life")</f>
        <v>0</v>
      </c>
      <c r="B1219" t="s">
        <v>392</v>
      </c>
      <c r="C1219" t="s">
        <v>1667</v>
      </c>
      <c r="D1219" t="s">
        <v>2998</v>
      </c>
      <c r="E1219" t="s">
        <v>3117</v>
      </c>
      <c r="F1219" t="s">
        <v>3131</v>
      </c>
      <c r="G1219" s="2" t="s">
        <v>4349</v>
      </c>
      <c r="H1219">
        <v>6.65E-05</v>
      </c>
      <c r="I1219">
        <v>5.285E-05</v>
      </c>
      <c r="J1219">
        <v>0.00011935</v>
      </c>
    </row>
    <row r="1220" spans="1:10">
      <c r="A1220">
        <f>HYPERLINK("https://mega.nz/file/DdNQHY7S#MznPbkbKJuJf4VZYscb-b9yo41MLPJK8t7b_1sddXZ8", "Using Your Brain for A Change")</f>
        <v>0</v>
      </c>
      <c r="B1220" t="s">
        <v>392</v>
      </c>
      <c r="C1220" t="s">
        <v>1668</v>
      </c>
      <c r="D1220" t="s">
        <v>2999</v>
      </c>
      <c r="E1220" t="s">
        <v>3117</v>
      </c>
      <c r="F1220" t="s">
        <v>3131</v>
      </c>
      <c r="G1220" s="2" t="s">
        <v>4350</v>
      </c>
      <c r="H1220">
        <v>6.160000000000001E-05</v>
      </c>
      <c r="I1220">
        <v>4.76E-05</v>
      </c>
      <c r="J1220">
        <v>0.0001092</v>
      </c>
    </row>
    <row r="1221" spans="1:10">
      <c r="A1221">
        <f>HYPERLINK("https://mega.nz/file/OUVmSATL#_8_Hm0X1Tn6aGvo6oWJE4AN2qM6HfSxByWb5-7MMp4M", "Patterns Of The Hypnotic Techniques Of Milton Erickson")</f>
        <v>0</v>
      </c>
      <c r="B1221" t="s">
        <v>393</v>
      </c>
      <c r="C1221" t="s">
        <v>1669</v>
      </c>
      <c r="D1221" t="s">
        <v>3000</v>
      </c>
      <c r="E1221" t="s">
        <v>3117</v>
      </c>
      <c r="F1221" t="s">
        <v>3131</v>
      </c>
      <c r="G1221" s="2" t="s">
        <v>4351</v>
      </c>
      <c r="H1221">
        <v>6.999999999999999E-05</v>
      </c>
      <c r="I1221">
        <v>5.18E-05</v>
      </c>
      <c r="J1221">
        <v>0.0001218</v>
      </c>
    </row>
    <row r="1222" spans="1:10">
      <c r="A1222">
        <f>HYPERLINK("https://mega.nz/file/PYNR2Dwb#3zcNnNf-cOw8MsD92o9s4WgVKvEz60SvPtjwHVct3WE", "The Structure Of Magic Vol I")</f>
        <v>0</v>
      </c>
      <c r="B1222" t="s">
        <v>394</v>
      </c>
      <c r="C1222" t="s">
        <v>1670</v>
      </c>
      <c r="D1222" t="s">
        <v>3001</v>
      </c>
      <c r="E1222" t="s">
        <v>3117</v>
      </c>
      <c r="F1222" t="s">
        <v>3131</v>
      </c>
      <c r="G1222" s="2" t="s">
        <v>4352</v>
      </c>
      <c r="H1222">
        <v>6.58E-05</v>
      </c>
      <c r="I1222">
        <v>4.69E-05</v>
      </c>
      <c r="J1222">
        <v>0.0001127</v>
      </c>
    </row>
    <row r="1223" spans="1:10">
      <c r="A1223">
        <f>HYPERLINK("https://mega.nz/file/aZ9XDRgY#AnVEvlX2asxSnvnkrDMSrJs5HZ_JncWbpW_TF54LCiw", "The Structure Of Magic Vol II")</f>
        <v>0</v>
      </c>
      <c r="B1223" t="s">
        <v>394</v>
      </c>
      <c r="C1223" t="s">
        <v>1671</v>
      </c>
      <c r="D1223" t="s">
        <v>3002</v>
      </c>
      <c r="E1223" t="s">
        <v>3117</v>
      </c>
      <c r="F1223" t="s">
        <v>3131</v>
      </c>
      <c r="G1223" s="2" t="s">
        <v>4353</v>
      </c>
      <c r="H1223">
        <v>6.58E-05</v>
      </c>
      <c r="I1223">
        <v>5.81E-05</v>
      </c>
      <c r="J1223">
        <v>0.0001239</v>
      </c>
    </row>
    <row r="1224" spans="1:10">
      <c r="A1224">
        <f>HYPERLINK("https://mega.nz/file/rQtFXboB#OCMk_fHRTjtH1d4wx5aoa9lm8nSu-pXgsc76BTEhsmw", "Persuasion Engineering")</f>
        <v>0</v>
      </c>
      <c r="B1224" t="s">
        <v>395</v>
      </c>
      <c r="C1224" t="s">
        <v>1672</v>
      </c>
      <c r="D1224" t="s">
        <v>3003</v>
      </c>
      <c r="E1224" t="s">
        <v>3117</v>
      </c>
      <c r="F1224" t="s">
        <v>3131</v>
      </c>
      <c r="G1224" s="2" t="s">
        <v>4354</v>
      </c>
      <c r="H1224">
        <v>6.265E-05</v>
      </c>
      <c r="I1224">
        <v>5.775E-05</v>
      </c>
      <c r="J1224">
        <v>0.0001204</v>
      </c>
    </row>
    <row r="1225" spans="1:10">
      <c r="A1225">
        <f>HYPERLINK("https://mega.nz/file/iNMmHLAR#qM-RZi4q3dVX-rwhujyfh6yWQyZMtugBKBSwZMKme5k", "The Metaphysics of the Incarnation")</f>
        <v>0</v>
      </c>
      <c r="B1225" t="s">
        <v>396</v>
      </c>
      <c r="C1225" t="s">
        <v>1673</v>
      </c>
      <c r="D1225" t="s">
        <v>3004</v>
      </c>
      <c r="E1225" t="s">
        <v>3117</v>
      </c>
      <c r="F1225" t="s">
        <v>3131</v>
      </c>
      <c r="G1225" s="2" t="s">
        <v>4355</v>
      </c>
      <c r="H1225">
        <v>6.719999999999999E-05</v>
      </c>
      <c r="I1225">
        <v>5.32E-05</v>
      </c>
      <c r="J1225">
        <v>0.0001204</v>
      </c>
    </row>
    <row r="1226" spans="1:10">
      <c r="A1226">
        <f>HYPERLINK("https://mega.nz/file/mYtV2CyD#UwZuIZhRyjP0Q9DpdUy-N-5RUgOpH8BsyWUDi5QLY4g", "El sentido de lo sagrado en las culturas y en las religiones")</f>
        <v>0</v>
      </c>
      <c r="B1226" t="s">
        <v>397</v>
      </c>
      <c r="C1226" t="s">
        <v>1674</v>
      </c>
      <c r="D1226" t="s">
        <v>3005</v>
      </c>
      <c r="E1226" t="s">
        <v>3117</v>
      </c>
      <c r="F1226" t="s">
        <v>3130</v>
      </c>
      <c r="G1226" s="2" t="s">
        <v>4356</v>
      </c>
      <c r="H1226">
        <v>7.63E-05</v>
      </c>
      <c r="I1226">
        <v>5.67E-05</v>
      </c>
      <c r="J1226">
        <v>0.000133</v>
      </c>
    </row>
    <row r="1227" spans="1:10">
      <c r="A1227">
        <f>HYPERLINK("https://mega.nz/file/6cszmZAC#PEr6Yi4tZM-HrRVHSmx7dkuLS29nXbdEwe1huvg2kjE", "El Amanecer De Los Brujos")</f>
        <v>0</v>
      </c>
      <c r="B1227" t="s">
        <v>398</v>
      </c>
      <c r="C1227" t="s">
        <v>1675</v>
      </c>
      <c r="D1227" t="s">
        <v>3006</v>
      </c>
      <c r="E1227" t="s">
        <v>3117</v>
      </c>
      <c r="F1227" t="s">
        <v>3130</v>
      </c>
      <c r="G1227" s="2" t="s">
        <v>4357</v>
      </c>
      <c r="H1227">
        <v>6.37E-05</v>
      </c>
      <c r="I1227">
        <v>5.81E-05</v>
      </c>
      <c r="J1227">
        <v>0.0001218</v>
      </c>
    </row>
    <row r="1228" spans="1:10">
      <c r="A1228">
        <f>HYPERLINK("https://mega.nz/file/iBtU2AoB#k0YChAUXfcQSRNShouDPC_1Hw_qCUUSqjdt3zdRaG8A", "Disparador Cósmico I")</f>
        <v>0</v>
      </c>
      <c r="B1228" t="s">
        <v>399</v>
      </c>
      <c r="C1228" t="s">
        <v>1676</v>
      </c>
      <c r="D1228" t="s">
        <v>3007</v>
      </c>
      <c r="E1228" t="s">
        <v>3117</v>
      </c>
      <c r="F1228" t="s">
        <v>3131</v>
      </c>
      <c r="G1228" s="2" t="s">
        <v>4358</v>
      </c>
      <c r="H1228">
        <v>6.405E-05</v>
      </c>
      <c r="I1228">
        <v>5.775E-05</v>
      </c>
      <c r="J1228">
        <v>0.0001218</v>
      </c>
    </row>
    <row r="1229" spans="1:10">
      <c r="A1229">
        <f>HYPERLINK("https://mega.nz/file/KF8SEJCK#6trBqOGS374XPa_2u-Bb_YMfu-hys_bfNa16zCQ2aLc", "Sleight of Mouth - The magic of Conversational Belief Change")</f>
        <v>0</v>
      </c>
      <c r="B1229" t="s">
        <v>400</v>
      </c>
      <c r="C1229" t="s">
        <v>1677</v>
      </c>
      <c r="D1229" t="s">
        <v>3008</v>
      </c>
      <c r="E1229" t="s">
        <v>3117</v>
      </c>
      <c r="F1229" t="s">
        <v>3131</v>
      </c>
      <c r="G1229" s="2" t="s">
        <v>4359</v>
      </c>
      <c r="H1229">
        <v>6.895E-05</v>
      </c>
      <c r="I1229">
        <v>5.215E-05</v>
      </c>
      <c r="J1229">
        <v>0.0001211</v>
      </c>
    </row>
    <row r="1230" spans="1:10">
      <c r="A1230">
        <f>HYPERLINK("https://mega.nz/file/LBk3yCQB#6kmNG1pgeRPPur6HGjgzFwMcesDNOXBvtHhwBGWT29w", "La Diosa Blanca I")</f>
        <v>0</v>
      </c>
      <c r="B1230" t="s">
        <v>401</v>
      </c>
      <c r="C1230" t="s">
        <v>1678</v>
      </c>
      <c r="D1230" t="s">
        <v>3009</v>
      </c>
      <c r="E1230" t="s">
        <v>3117</v>
      </c>
      <c r="F1230" t="s">
        <v>3130</v>
      </c>
      <c r="G1230" s="2" t="s">
        <v>4360</v>
      </c>
      <c r="H1230">
        <v>6.195E-05</v>
      </c>
      <c r="I1230">
        <v>5.88E-05</v>
      </c>
      <c r="J1230">
        <v>0.00012075</v>
      </c>
    </row>
    <row r="1231" spans="1:10">
      <c r="A1231">
        <f>HYPERLINK("https://mega.nz/file/HQtlxR5A#qDWBLsEEchaJ6UDOy_o2U_UYSLJHA5TRH2J_edlHn6o", "Out of Body Experiences")</f>
        <v>0</v>
      </c>
      <c r="B1231" t="s">
        <v>402</v>
      </c>
      <c r="C1231" t="s">
        <v>1679</v>
      </c>
      <c r="D1231" t="s">
        <v>3010</v>
      </c>
      <c r="E1231" t="s">
        <v>3117</v>
      </c>
      <c r="F1231" t="s">
        <v>3131</v>
      </c>
      <c r="G1231" s="2" t="s">
        <v>4361</v>
      </c>
      <c r="H1231">
        <v>6.02E-05</v>
      </c>
      <c r="I1231">
        <v>5.215E-05</v>
      </c>
      <c r="J1231">
        <v>0.00011235</v>
      </c>
    </row>
    <row r="1232" spans="1:10">
      <c r="A1232">
        <f>HYPERLINK("https://mega.nz/file/WN8z3aRJ#QU8t69IJE4n5BWES8mEJFkI5uofO1t-8wP7R9jtj9xs", "El Hombre y Lo Sagrado")</f>
        <v>0</v>
      </c>
      <c r="B1232" t="s">
        <v>403</v>
      </c>
      <c r="C1232" t="s">
        <v>1680</v>
      </c>
      <c r="D1232" t="s">
        <v>3011</v>
      </c>
      <c r="E1232" t="s">
        <v>3117</v>
      </c>
      <c r="F1232" t="s">
        <v>3130</v>
      </c>
      <c r="G1232" s="2" t="s">
        <v>4362</v>
      </c>
      <c r="H1232">
        <v>6.475E-05</v>
      </c>
      <c r="I1232">
        <v>5.915E-05</v>
      </c>
      <c r="J1232">
        <v>0.0001239</v>
      </c>
    </row>
    <row r="1233" spans="1:10">
      <c r="A1233">
        <f>HYPERLINK("https://mega.nz/file/XdNFlCBI#C-mIp3jAEwEH58udReOXx_VV9IOiXfenqIqYygH_WMA", "Historia Antigua de Israel I")</f>
        <v>0</v>
      </c>
      <c r="B1233" t="s">
        <v>404</v>
      </c>
      <c r="C1233" t="s">
        <v>1681</v>
      </c>
      <c r="D1233" t="s">
        <v>3012</v>
      </c>
      <c r="E1233" t="s">
        <v>3117</v>
      </c>
      <c r="F1233" t="s">
        <v>3130</v>
      </c>
      <c r="G1233" s="2" t="s">
        <v>4363</v>
      </c>
      <c r="H1233">
        <v>6.439999999999999E-05</v>
      </c>
      <c r="I1233">
        <v>6.09E-05</v>
      </c>
      <c r="J1233">
        <v>0.0001253</v>
      </c>
    </row>
    <row r="1234" spans="1:10">
      <c r="A1234">
        <f>HYPERLINK("https://mega.nz/file/DFlUDLgR#lYc_Nqaq2CP7sq6DQtVbNBR3zIVLow-WJm184rJLpzI", "666 El Numero Sagrado De La Diosa")</f>
        <v>0</v>
      </c>
      <c r="B1234" t="s">
        <v>405</v>
      </c>
      <c r="C1234" t="s">
        <v>1682</v>
      </c>
      <c r="D1234" t="s">
        <v>3013</v>
      </c>
      <c r="E1234" t="s">
        <v>3117</v>
      </c>
      <c r="F1234" t="s">
        <v>3130</v>
      </c>
      <c r="G1234" s="2" t="s">
        <v>4364</v>
      </c>
      <c r="H1234">
        <v>6.93E-05</v>
      </c>
      <c r="I1234">
        <v>6.125E-05</v>
      </c>
      <c r="J1234">
        <v>0.00013055</v>
      </c>
    </row>
    <row r="1235" spans="1:10">
      <c r="A1235">
        <f>HYPERLINK("https://mega.nz/file/jUVxkC4Y#jVFbVkTnfR__Irf0OApoZsoVPRMe8x4AU6WhJcv_zog", "Aberraciones Psiquicas Del Sexo o El Conde De Gabalis")</f>
        <v>0</v>
      </c>
      <c r="B1235" t="s">
        <v>406</v>
      </c>
      <c r="C1235" t="s">
        <v>1683</v>
      </c>
      <c r="D1235" t="s">
        <v>3014</v>
      </c>
      <c r="E1235" t="s">
        <v>3117</v>
      </c>
      <c r="F1235" t="s">
        <v>3130</v>
      </c>
      <c r="G1235" s="2" t="s">
        <v>4365</v>
      </c>
      <c r="H1235">
        <v>7.595E-05</v>
      </c>
      <c r="I1235">
        <v>6.58E-05</v>
      </c>
      <c r="J1235">
        <v>0.00014175</v>
      </c>
    </row>
    <row r="1236" spans="1:10">
      <c r="A1236">
        <f>HYPERLINK("https://mega.nz/file/PIklnICb#W6lEIlrrJuhYnVNyQaBQLUjdsXamaa3jO00aaEBt_Rg", "English - Old Norse Dictionary")</f>
        <v>0</v>
      </c>
      <c r="B1236" t="s">
        <v>407</v>
      </c>
      <c r="C1236" t="s">
        <v>1684</v>
      </c>
      <c r="D1236" t="s">
        <v>3015</v>
      </c>
      <c r="E1236" t="s">
        <v>3117</v>
      </c>
      <c r="F1236" t="s">
        <v>3131</v>
      </c>
      <c r="G1236" s="2" t="s">
        <v>4366</v>
      </c>
      <c r="H1236">
        <v>6.160000000000001E-05</v>
      </c>
      <c r="I1236">
        <v>5.74E-05</v>
      </c>
      <c r="J1236">
        <v>0.000119</v>
      </c>
    </row>
    <row r="1237" spans="1:10">
      <c r="A1237">
        <f>HYPERLINK("https://mega.nz/file/bZ1nAZDB#8LNzHsEjvIp42-oCRAs99LnXRMZhkEz6s-rx9u1VYNw", "Castaneda A Examen")</f>
        <v>0</v>
      </c>
      <c r="B1237" t="s">
        <v>408</v>
      </c>
      <c r="C1237" t="s">
        <v>1685</v>
      </c>
      <c r="D1237" t="s">
        <v>3016</v>
      </c>
      <c r="E1237" t="s">
        <v>3117</v>
      </c>
      <c r="F1237" t="s">
        <v>3131</v>
      </c>
      <c r="G1237" s="2" t="s">
        <v>4367</v>
      </c>
      <c r="H1237">
        <v>6.160000000000001E-05</v>
      </c>
      <c r="I1237">
        <v>4.69E-05</v>
      </c>
      <c r="J1237">
        <v>0.0001085</v>
      </c>
    </row>
    <row r="1238" spans="1:10">
      <c r="A1238">
        <f>HYPERLINK("https://mega.nz/file/TRs1VZwZ#t9sDm-Upie-bLj9lxFrEWgqLlN5cLS1qFhO1Vx3nXX0", "A Short Course In Scrying")</f>
        <v>0</v>
      </c>
      <c r="B1238" t="s">
        <v>409</v>
      </c>
      <c r="C1238" t="s">
        <v>1686</v>
      </c>
      <c r="D1238" t="s">
        <v>3017</v>
      </c>
      <c r="E1238" t="s">
        <v>3117</v>
      </c>
      <c r="F1238" t="s">
        <v>3131</v>
      </c>
      <c r="G1238" s="2" t="s">
        <v>4368</v>
      </c>
      <c r="H1238">
        <v>6.055E-05</v>
      </c>
      <c r="I1238">
        <v>5.285E-05</v>
      </c>
      <c r="J1238">
        <v>0.0001134</v>
      </c>
    </row>
    <row r="1239" spans="1:10">
      <c r="A1239">
        <f>HYPERLINK("https://mega.nz/file/qU1DzYyC#5spymxzchMSQBQquO5Er2XykFBEvx51h79-PHeZsXyI", "Enochian Magick Reference")</f>
        <v>0</v>
      </c>
      <c r="B1239" t="s">
        <v>410</v>
      </c>
      <c r="C1239" t="s">
        <v>1126</v>
      </c>
      <c r="D1239" t="s">
        <v>3018</v>
      </c>
      <c r="E1239" t="s">
        <v>3117</v>
      </c>
      <c r="F1239" t="s">
        <v>3131</v>
      </c>
      <c r="G1239" s="2" t="s">
        <v>4369</v>
      </c>
      <c r="H1239">
        <v>6.02E-05</v>
      </c>
      <c r="I1239">
        <v>5.425E-05</v>
      </c>
      <c r="J1239">
        <v>0.00011445</v>
      </c>
    </row>
    <row r="1240" spans="1:10">
      <c r="A1240">
        <f>HYPERLINK("https://mega.nz/file/SQlyXbKS#0biXpxmcWL7r99caZ0jUNOryBJvd-1EdcyjwFnkRTl4", "The Enochian Calls")</f>
        <v>0</v>
      </c>
      <c r="B1240" t="s">
        <v>409</v>
      </c>
      <c r="C1240" t="s">
        <v>1687</v>
      </c>
      <c r="D1240" t="s">
        <v>3019</v>
      </c>
      <c r="E1240" t="s">
        <v>3117</v>
      </c>
      <c r="F1240" t="s">
        <v>3131</v>
      </c>
      <c r="G1240" s="2" t="s">
        <v>4370</v>
      </c>
      <c r="H1240">
        <v>5.845E-05</v>
      </c>
      <c r="I1240">
        <v>5.215E-05</v>
      </c>
      <c r="J1240">
        <v>0.0001106</v>
      </c>
    </row>
    <row r="1241" spans="1:10">
      <c r="A1241">
        <f>HYPERLINK("https://mega.nz/file/uQdHCbqJ#XyyPcVmTdcoo8dkSdpRGb5TNKciRJ3NbuACsEQH2sEU", "An Outline of Occult Science")</f>
        <v>0</v>
      </c>
      <c r="B1241" t="s">
        <v>411</v>
      </c>
      <c r="C1241" t="s">
        <v>1688</v>
      </c>
      <c r="D1241" t="s">
        <v>3020</v>
      </c>
      <c r="E1241" t="s">
        <v>3117</v>
      </c>
      <c r="F1241" t="s">
        <v>3131</v>
      </c>
      <c r="G1241" s="2" t="s">
        <v>4371</v>
      </c>
      <c r="H1241">
        <v>6.160000000000001E-05</v>
      </c>
      <c r="I1241">
        <v>5.32E-05</v>
      </c>
      <c r="J1241">
        <v>0.0001148</v>
      </c>
    </row>
    <row r="1242" spans="1:10">
      <c r="A1242">
        <f>HYPERLINK("https://mega.nz/file/2RFhzCjZ#eb7ccMHlW_k8v1--vaw7yqterrTNtKzZgrqVjhPAps8", "La Conspiracion De Asis")</f>
        <v>0</v>
      </c>
      <c r="B1242" t="s">
        <v>412</v>
      </c>
      <c r="C1242" t="s">
        <v>1689</v>
      </c>
      <c r="D1242" t="s">
        <v>3021</v>
      </c>
      <c r="E1242" t="s">
        <v>3117</v>
      </c>
      <c r="F1242" t="s">
        <v>3130</v>
      </c>
      <c r="G1242" s="2" t="s">
        <v>4372</v>
      </c>
      <c r="H1242">
        <v>6.265E-05</v>
      </c>
      <c r="I1242">
        <v>6.755E-05</v>
      </c>
      <c r="J1242">
        <v>0.0001302</v>
      </c>
    </row>
    <row r="1243" spans="1:10">
      <c r="A1243">
        <f>HYPERLINK("https://mega.nz/file/3I0lhYxT#QRB-SYdOSNpuw6HrNTX5U1PFV5gDRTeW6Q-uLsYC_a8", "Nuevos Cataros Para Montsegur")</f>
        <v>0</v>
      </c>
      <c r="B1243" t="s">
        <v>413</v>
      </c>
      <c r="C1243" t="s">
        <v>1690</v>
      </c>
      <c r="D1243" t="s">
        <v>3022</v>
      </c>
      <c r="E1243" t="s">
        <v>3117</v>
      </c>
      <c r="F1243" t="s">
        <v>3130</v>
      </c>
      <c r="G1243" s="2" t="s">
        <v>4373</v>
      </c>
      <c r="H1243">
        <v>6.439999999999999E-05</v>
      </c>
      <c r="I1243">
        <v>6.405E-05</v>
      </c>
      <c r="J1243">
        <v>0.00012845</v>
      </c>
    </row>
    <row r="1244" spans="1:10">
      <c r="A1244">
        <f>HYPERLINK("https://mega.nz/file/PMc3wS6L#V0GhcGNq0ba5nfPaxQAqNhOdJH4XiglsGFD6zb0hcIY", "El Hombre Nuevo")</f>
        <v>0</v>
      </c>
      <c r="B1244" t="s">
        <v>414</v>
      </c>
      <c r="C1244" t="s">
        <v>1691</v>
      </c>
      <c r="D1244" t="s">
        <v>3023</v>
      </c>
      <c r="E1244" t="s">
        <v>3117</v>
      </c>
      <c r="F1244" t="s">
        <v>3130</v>
      </c>
      <c r="G1244" s="2" t="s">
        <v>4374</v>
      </c>
      <c r="H1244">
        <v>5.845E-05</v>
      </c>
      <c r="I1244">
        <v>5.915E-05</v>
      </c>
      <c r="J1244">
        <v>0.0001176</v>
      </c>
    </row>
    <row r="1245" spans="1:10">
      <c r="A1245">
        <f>HYPERLINK("https://mega.nz/file/qd0CWb4R#y2zczr1xnyr73DeLkHrRZu24BwCs6lXoagKLD63tUJM", "Vampiros Los Reyes De La Noche")</f>
        <v>0</v>
      </c>
      <c r="B1245" t="s">
        <v>415</v>
      </c>
      <c r="C1245" t="s">
        <v>1692</v>
      </c>
      <c r="D1245" t="s">
        <v>3024</v>
      </c>
      <c r="E1245" t="s">
        <v>3117</v>
      </c>
      <c r="F1245" t="s">
        <v>3130</v>
      </c>
      <c r="G1245" s="2" t="s">
        <v>4375</v>
      </c>
      <c r="H1245">
        <v>6.545000000000001E-05</v>
      </c>
      <c r="I1245">
        <v>5.11E-05</v>
      </c>
      <c r="J1245">
        <v>0.00011655</v>
      </c>
    </row>
    <row r="1246" spans="1:10">
      <c r="A1246">
        <f>HYPERLINK("https://mega.nz/file/CJlGFKDT#UQQ237w1p4sjYxCQUv1M1DZ31N7_BFXJsZ_3sCj8dQs", "Splendor Solis")</f>
        <v>0</v>
      </c>
      <c r="B1246" t="s">
        <v>416</v>
      </c>
      <c r="C1246" t="s">
        <v>1693</v>
      </c>
      <c r="D1246" t="s">
        <v>3025</v>
      </c>
      <c r="E1246" t="s">
        <v>3117</v>
      </c>
      <c r="F1246" t="s">
        <v>3131</v>
      </c>
      <c r="G1246" s="2" t="s">
        <v>4376</v>
      </c>
      <c r="H1246">
        <v>6.23E-05</v>
      </c>
      <c r="I1246">
        <v>5.81E-05</v>
      </c>
      <c r="J1246">
        <v>0.0001204</v>
      </c>
    </row>
    <row r="1247" spans="1:10">
      <c r="A1247">
        <f>HYPERLINK("https://mega.nz/file/nU0QxbiT#_eYUbDVdt-OlqRlEdCcdj9-7DGvw7A9Off2UIxHd_5c", "Las Religiones Que Nos Separan")</f>
        <v>0</v>
      </c>
      <c r="B1247" t="s">
        <v>417</v>
      </c>
      <c r="C1247" t="s">
        <v>1694</v>
      </c>
      <c r="D1247" t="s">
        <v>3026</v>
      </c>
      <c r="E1247" t="s">
        <v>3117</v>
      </c>
      <c r="F1247" t="s">
        <v>3130</v>
      </c>
      <c r="G1247" s="2" t="s">
        <v>4377</v>
      </c>
      <c r="H1247">
        <v>6.439999999999999E-05</v>
      </c>
      <c r="I1247">
        <v>5.355E-05</v>
      </c>
      <c r="J1247">
        <v>0.00011795</v>
      </c>
    </row>
    <row r="1248" spans="1:10">
      <c r="A1248">
        <f>HYPERLINK("https://mega.nz/file/PAFA2DoI#6l-BxTMaptdRMQzvIgVZkjLttvzUoXPk3xc7fRK8HW0", "El libro egipcio de los muertos")</f>
        <v>0</v>
      </c>
      <c r="B1248" t="s">
        <v>418</v>
      </c>
      <c r="C1248" t="s">
        <v>671</v>
      </c>
      <c r="D1248" t="s">
        <v>3027</v>
      </c>
      <c r="E1248" t="s">
        <v>3117</v>
      </c>
      <c r="F1248" t="s">
        <v>3130</v>
      </c>
      <c r="G1248" s="2" t="s">
        <v>4378</v>
      </c>
      <c r="H1248">
        <v>6.58E-05</v>
      </c>
      <c r="I1248">
        <v>7.07E-05</v>
      </c>
      <c r="J1248">
        <v>0.0001365</v>
      </c>
    </row>
    <row r="1249" spans="1:10">
      <c r="A1249">
        <f>HYPERLINK("https://mega.nz/file/GIdwCRqB#2yUxxCO7w1D4v7DD7oDfvH5_gWp-HpV1zkVSZXYIAe4", "Magia Sexual")</f>
        <v>0</v>
      </c>
      <c r="B1249" t="s">
        <v>418</v>
      </c>
      <c r="C1249" t="s">
        <v>1695</v>
      </c>
      <c r="D1249" t="s">
        <v>3028</v>
      </c>
      <c r="E1249" t="s">
        <v>3117</v>
      </c>
      <c r="F1249" t="s">
        <v>3130</v>
      </c>
      <c r="G1249" s="2" t="s">
        <v>4379</v>
      </c>
      <c r="H1249">
        <v>6.125E-05</v>
      </c>
      <c r="I1249">
        <v>6.09E-05</v>
      </c>
      <c r="J1249">
        <v>0.00012215</v>
      </c>
    </row>
    <row r="1250" spans="1:10">
      <c r="A1250">
        <f>HYPERLINK("https://mega.nz/file/bNkTyQxS#y72Q5r5Zk6D9BugU9dvc3Lvq1frlZkDJBKXOdNjov10", "Fue Jehova Un Cosmonauta")</f>
        <v>0</v>
      </c>
      <c r="B1250" t="s">
        <v>419</v>
      </c>
      <c r="C1250" t="s">
        <v>1696</v>
      </c>
      <c r="D1250" t="s">
        <v>3029</v>
      </c>
      <c r="E1250" t="s">
        <v>3117</v>
      </c>
      <c r="F1250" t="s">
        <v>3130</v>
      </c>
      <c r="G1250" s="2" t="s">
        <v>4380</v>
      </c>
      <c r="H1250">
        <v>6.160000000000001E-05</v>
      </c>
      <c r="I1250">
        <v>5.6E-05</v>
      </c>
      <c r="J1250">
        <v>0.0001176</v>
      </c>
    </row>
    <row r="1251" spans="1:10">
      <c r="A1251">
        <f>HYPERLINK("https://mega.nz/file/DEFzEJgJ#gHpzSSBLKrPcp5VqpDt1q_KwemwPrbldJR-2gQnZ5AI", "The Seventh Book of Moses")</f>
        <v>0</v>
      </c>
      <c r="B1251" t="s">
        <v>420</v>
      </c>
      <c r="C1251" t="s">
        <v>1697</v>
      </c>
      <c r="D1251" t="s">
        <v>3030</v>
      </c>
      <c r="E1251" t="s">
        <v>3117</v>
      </c>
      <c r="F1251" t="s">
        <v>3131</v>
      </c>
      <c r="G1251" s="2" t="s">
        <v>4381</v>
      </c>
      <c r="H1251">
        <v>6.160000000000001E-05</v>
      </c>
      <c r="I1251">
        <v>5.74E-05</v>
      </c>
      <c r="J1251">
        <v>0.000119</v>
      </c>
    </row>
    <row r="1252" spans="1:10">
      <c r="A1252">
        <f>HYPERLINK("https://mega.nz/file/jY8WCAIK#DaIpF1NQcpXQ7nwsB2urMI5jpN2Ao0k2XfdrIBjKvPs", "The Sixth Book of Moses")</f>
        <v>0</v>
      </c>
      <c r="B1252" t="s">
        <v>420</v>
      </c>
      <c r="C1252" t="s">
        <v>1698</v>
      </c>
      <c r="D1252" t="s">
        <v>3031</v>
      </c>
      <c r="E1252" t="s">
        <v>3117</v>
      </c>
      <c r="F1252" t="s">
        <v>3131</v>
      </c>
      <c r="G1252" s="2" t="s">
        <v>4382</v>
      </c>
      <c r="H1252">
        <v>6.160000000000001E-05</v>
      </c>
      <c r="I1252">
        <v>5.74E-05</v>
      </c>
      <c r="J1252">
        <v>0.000119</v>
      </c>
    </row>
    <row r="1253" spans="1:10">
      <c r="A1253">
        <f>HYPERLINK("https://mega.nz/file/qUEFXYZT#HwFEqMEOWF0eNLiyO6tsGxixnz0ayvK9CZjv_Q_cx-Q", "Las ciencias ocultas")</f>
        <v>0</v>
      </c>
      <c r="B1253" t="s">
        <v>421</v>
      </c>
      <c r="C1253" t="s">
        <v>1699</v>
      </c>
      <c r="D1253" t="s">
        <v>3032</v>
      </c>
      <c r="E1253" t="s">
        <v>3117</v>
      </c>
      <c r="F1253" t="s">
        <v>3130</v>
      </c>
      <c r="G1253" s="2" t="s">
        <v>4383</v>
      </c>
      <c r="H1253">
        <v>6.09E-05</v>
      </c>
      <c r="I1253">
        <v>5.81E-05</v>
      </c>
      <c r="J1253">
        <v>0.000119</v>
      </c>
    </row>
    <row r="1254" spans="1:10">
      <c r="A1254">
        <f>HYPERLINK("https://mega.nz/file/SB8UgY5Q#Qd6Ek1N9KBwTZhvPfMc8IHxa_i1OEMkcU3G3jj8zIPw", "On Demonology &amp; Witchcraft")</f>
        <v>0</v>
      </c>
      <c r="B1254" t="s">
        <v>422</v>
      </c>
      <c r="C1254" t="s">
        <v>1700</v>
      </c>
      <c r="D1254" t="s">
        <v>3033</v>
      </c>
      <c r="E1254" t="s">
        <v>3123</v>
      </c>
      <c r="F1254" t="s">
        <v>3131</v>
      </c>
      <c r="G1254" s="2" t="s">
        <v>4384</v>
      </c>
      <c r="H1254">
        <v>5.95E-05</v>
      </c>
      <c r="I1254">
        <v>5.32E-05</v>
      </c>
      <c r="J1254">
        <v>0.0001127</v>
      </c>
    </row>
    <row r="1255" spans="1:10">
      <c r="A1255">
        <f>HYPERLINK("https://mega.nz/file/yYlkWK6T#rqgkbO8ze2-YvGCj9K4z-PrbQEua9NgtUticdMgBl7M", "La Otra Atlantida")</f>
        <v>0</v>
      </c>
      <c r="B1255" t="s">
        <v>423</v>
      </c>
      <c r="C1255" t="s">
        <v>1701</v>
      </c>
      <c r="D1255" t="s">
        <v>3034</v>
      </c>
      <c r="E1255" t="s">
        <v>3117</v>
      </c>
      <c r="F1255" t="s">
        <v>3130</v>
      </c>
      <c r="G1255" s="2" t="s">
        <v>4385</v>
      </c>
      <c r="H1255">
        <v>6.055E-05</v>
      </c>
      <c r="I1255">
        <v>6.265E-05</v>
      </c>
      <c r="J1255">
        <v>0.0001232</v>
      </c>
    </row>
    <row r="1256" spans="1:10">
      <c r="A1256">
        <f>HYPERLINK("https://mega.nz/file/qQMGXAhK#C6RJOx5TbJtQds5EkDNG9l2ekI9UJXzRjMjxN751gJo", "Secretos De La Perdida Atlantida")</f>
        <v>0</v>
      </c>
      <c r="B1256" t="s">
        <v>423</v>
      </c>
      <c r="C1256" t="s">
        <v>1702</v>
      </c>
      <c r="D1256" t="s">
        <v>3035</v>
      </c>
      <c r="E1256" t="s">
        <v>3117</v>
      </c>
      <c r="F1256" t="s">
        <v>3130</v>
      </c>
      <c r="G1256" s="2" t="s">
        <v>4386</v>
      </c>
      <c r="H1256">
        <v>6.475E-05</v>
      </c>
      <c r="I1256">
        <v>5.775E-05</v>
      </c>
      <c r="J1256">
        <v>0.0001225</v>
      </c>
    </row>
    <row r="1257" spans="1:10">
      <c r="A1257">
        <f>HYPERLINK("https://mega.nz/file/TEkHESgC#kff9sz9jEwH3f9SdFkahsIKZs9eSHwYqtmo9wEwC-Bc", "Libro De Las Sombras Alejandrino")</f>
        <v>0</v>
      </c>
      <c r="B1257" t="s">
        <v>424</v>
      </c>
      <c r="C1257" t="s">
        <v>1703</v>
      </c>
      <c r="D1257" t="s">
        <v>3036</v>
      </c>
      <c r="E1257" t="s">
        <v>3117</v>
      </c>
      <c r="F1257" t="s">
        <v>3130</v>
      </c>
      <c r="G1257" s="2" t="s">
        <v>4387</v>
      </c>
      <c r="H1257">
        <v>6.475E-05</v>
      </c>
      <c r="I1257">
        <v>6.195E-05</v>
      </c>
      <c r="J1257">
        <v>0.0001267</v>
      </c>
    </row>
    <row r="1258" spans="1:10">
      <c r="A1258">
        <f>HYPERLINK("https://mega.nz/file/nV8SDCxC#nRb7mhiEUu3t50ttCnLkyasMfYnNu9FwznWj_gnQFkE", "A Manual Of Occultism")</f>
        <v>0</v>
      </c>
      <c r="B1258" t="s">
        <v>425</v>
      </c>
      <c r="C1258" t="s">
        <v>1704</v>
      </c>
      <c r="D1258" t="s">
        <v>3037</v>
      </c>
      <c r="E1258" t="s">
        <v>3117</v>
      </c>
      <c r="F1258" t="s">
        <v>3131</v>
      </c>
      <c r="G1258" s="2" t="s">
        <v>4388</v>
      </c>
      <c r="H1258">
        <v>6.160000000000001E-05</v>
      </c>
      <c r="I1258">
        <v>5.46E-05</v>
      </c>
      <c r="J1258">
        <v>0.0001162</v>
      </c>
    </row>
    <row r="1259" spans="1:10">
      <c r="A1259">
        <f>HYPERLINK("https://mega.nz/file/2I8UUKyR#cQZoxuj10uyNryNSQ9HjyyqW6T8sEOWYr1WTo9Qo_gc", "La Resurreccion Del Heroe")</f>
        <v>0</v>
      </c>
      <c r="B1259" t="s">
        <v>426</v>
      </c>
      <c r="C1259" t="s">
        <v>1705</v>
      </c>
      <c r="D1259" t="s">
        <v>3038</v>
      </c>
      <c r="E1259" t="s">
        <v>3117</v>
      </c>
      <c r="F1259" t="s">
        <v>3130</v>
      </c>
      <c r="G1259" s="2" t="s">
        <v>4389</v>
      </c>
      <c r="H1259">
        <v>6.37E-05</v>
      </c>
      <c r="I1259">
        <v>6.09E-05</v>
      </c>
      <c r="J1259">
        <v>0.0001246</v>
      </c>
    </row>
    <row r="1260" spans="1:10">
      <c r="A1260">
        <f>HYPERLINK("https://mega.nz/file/KUcVVJ4Y#_nIUzOFLMFkluSsFGKDZsGPkCOFwH_XUaT6vPn63LUo", "Book of Power")</f>
        <v>0</v>
      </c>
      <c r="B1260" t="s">
        <v>427</v>
      </c>
      <c r="C1260" t="s">
        <v>1706</v>
      </c>
      <c r="D1260" t="s">
        <v>3039</v>
      </c>
      <c r="E1260" t="s">
        <v>3117</v>
      </c>
      <c r="F1260" t="s">
        <v>3131</v>
      </c>
      <c r="G1260" s="2" t="s">
        <v>4390</v>
      </c>
      <c r="H1260">
        <v>6.125E-05</v>
      </c>
      <c r="I1260">
        <v>5.25E-05</v>
      </c>
      <c r="J1260">
        <v>0.00011375</v>
      </c>
    </row>
    <row r="1261" spans="1:10">
      <c r="A1261">
        <f>HYPERLINK("https://mega.nz/file/aF90HLDT#hDoEaYyXnxvclnmjtOpx_FqsW4z_7oUa5SXBejW5zMU", "El Sendero Del Druida")</f>
        <v>0</v>
      </c>
      <c r="B1261" t="s">
        <v>428</v>
      </c>
      <c r="C1261" t="s">
        <v>1707</v>
      </c>
      <c r="D1261" t="s">
        <v>3040</v>
      </c>
      <c r="E1261" t="s">
        <v>3117</v>
      </c>
      <c r="F1261" t="s">
        <v>3130</v>
      </c>
      <c r="G1261" s="2" t="s">
        <v>4391</v>
      </c>
      <c r="H1261">
        <v>6.265E-05</v>
      </c>
      <c r="I1261">
        <v>6.334999999999999E-05</v>
      </c>
      <c r="J1261">
        <v>0.000126</v>
      </c>
    </row>
    <row r="1262" spans="1:10">
      <c r="A1262">
        <f>HYPERLINK("https://mega.nz/file/XYEQxSJB#Ah0ePbA4TzE3w7GoIKopKazZWFdKcO9tJeBUnGBucIM", "Profetismo en Israel")</f>
        <v>0</v>
      </c>
      <c r="B1262" t="s">
        <v>429</v>
      </c>
      <c r="C1262" t="s">
        <v>1708</v>
      </c>
      <c r="D1262" t="s">
        <v>3041</v>
      </c>
      <c r="E1262" t="s">
        <v>3117</v>
      </c>
      <c r="F1262" t="s">
        <v>3130</v>
      </c>
      <c r="G1262" s="2" t="s">
        <v>4392</v>
      </c>
      <c r="H1262">
        <v>6.02E-05</v>
      </c>
      <c r="I1262">
        <v>6.23E-05</v>
      </c>
      <c r="J1262">
        <v>0.0001225</v>
      </c>
    </row>
    <row r="1263" spans="1:10">
      <c r="A1263">
        <f>HYPERLINK("https://mega.nz/file/3VkQiBhT#pcrU7XyOaoM7zWpKHQo8kEKA2Omsdg3YdavLnN51IP8", "Efesios - El Misterio De Cristo Revelado")</f>
        <v>0</v>
      </c>
      <c r="B1263" t="s">
        <v>430</v>
      </c>
      <c r="C1263" t="s">
        <v>1709</v>
      </c>
      <c r="D1263" t="s">
        <v>3042</v>
      </c>
      <c r="E1263" t="s">
        <v>3117</v>
      </c>
      <c r="F1263" t="s">
        <v>3130</v>
      </c>
      <c r="G1263" s="2" t="s">
        <v>4393</v>
      </c>
      <c r="H1263">
        <v>6.79E-05</v>
      </c>
      <c r="I1263">
        <v>6.58E-05</v>
      </c>
      <c r="J1263">
        <v>0.0001337</v>
      </c>
    </row>
    <row r="1264" spans="1:10">
      <c r="A1264">
        <f>HYPERLINK("https://mega.nz/file/SBECzJCD#fldPuhLuP6MvatZmUCUMbrWErB8agLJr6Yf5Vw6deto", "En Busca De La Edad De Oro")</f>
        <v>0</v>
      </c>
      <c r="B1264" t="s">
        <v>431</v>
      </c>
      <c r="C1264" t="s">
        <v>1710</v>
      </c>
      <c r="D1264" t="s">
        <v>3043</v>
      </c>
      <c r="E1264" t="s">
        <v>3117</v>
      </c>
      <c r="F1264" t="s">
        <v>3130</v>
      </c>
      <c r="G1264" s="2" t="s">
        <v>4394</v>
      </c>
      <c r="H1264">
        <v>6.160000000000001E-05</v>
      </c>
      <c r="I1264">
        <v>6.23E-05</v>
      </c>
      <c r="J1264">
        <v>0.0001239</v>
      </c>
    </row>
    <row r="1265" spans="1:10">
      <c r="A1265">
        <f>HYPERLINK("https://mega.nz/file/eYkR3bLZ#ToMiqRru8PvsX52S2sDqczbvm55DPcqRkct42XxABck", "The Necronomicon")</f>
        <v>0</v>
      </c>
      <c r="B1265" t="s">
        <v>432</v>
      </c>
      <c r="C1265" t="s">
        <v>1189</v>
      </c>
      <c r="D1265" t="s">
        <v>3044</v>
      </c>
      <c r="E1265" t="s">
        <v>3117</v>
      </c>
      <c r="F1265" t="s">
        <v>3131</v>
      </c>
      <c r="G1265" s="2" t="s">
        <v>4395</v>
      </c>
      <c r="H1265">
        <v>5.74E-05</v>
      </c>
      <c r="I1265">
        <v>5.11E-05</v>
      </c>
      <c r="J1265">
        <v>0.0001085</v>
      </c>
    </row>
    <row r="1266" spans="1:10">
      <c r="A1266">
        <f>HYPERLINK("https://mega.nz/file/bBU31QJQ#GwbWqu43tqXn5kHagA18cXIY8rL8WfamGlOPdw1EiY8", "The Necronomicon Spell Book")</f>
        <v>0</v>
      </c>
      <c r="B1266" t="s">
        <v>432</v>
      </c>
      <c r="C1266" t="s">
        <v>1711</v>
      </c>
      <c r="D1266" t="s">
        <v>3045</v>
      </c>
      <c r="E1266" t="s">
        <v>3117</v>
      </c>
      <c r="F1266" t="s">
        <v>3131</v>
      </c>
      <c r="G1266" s="2" t="s">
        <v>4396</v>
      </c>
      <c r="H1266">
        <v>5.95E-05</v>
      </c>
      <c r="I1266">
        <v>4.41E-05</v>
      </c>
      <c r="J1266">
        <v>0.0001036</v>
      </c>
    </row>
    <row r="1267" spans="1:10">
      <c r="A1267">
        <f>HYPERLINK("https://mega.nz/file/qZFTkDCA#UNYM_BnXk1LZDuIgG6bhTSViKWq_DEdKtbk_bCnEjJw", "El Descubrimiento Del Grial")</f>
        <v>0</v>
      </c>
      <c r="B1267" t="s">
        <v>433</v>
      </c>
      <c r="C1267" t="s">
        <v>1712</v>
      </c>
      <c r="D1267" t="s">
        <v>3046</v>
      </c>
      <c r="E1267" t="s">
        <v>3117</v>
      </c>
      <c r="F1267" t="s">
        <v>3130</v>
      </c>
      <c r="G1267" s="2" t="s">
        <v>4397</v>
      </c>
      <c r="H1267">
        <v>6.265E-05</v>
      </c>
      <c r="I1267">
        <v>5.495E-05</v>
      </c>
      <c r="J1267">
        <v>0.0001176</v>
      </c>
    </row>
    <row r="1268" spans="1:10">
      <c r="A1268">
        <f>HYPERLINK("https://mega.nz/file/PMM31ZbQ#WjseSAo4wvA_UAYFRwBOgOn-dtRdDg07I51O1n8XDlk", "Esoteric Buddhism")</f>
        <v>0</v>
      </c>
      <c r="B1268" t="s">
        <v>434</v>
      </c>
      <c r="C1268" t="s">
        <v>1713</v>
      </c>
      <c r="D1268" t="s">
        <v>3047</v>
      </c>
      <c r="E1268" t="s">
        <v>3117</v>
      </c>
      <c r="F1268" t="s">
        <v>3131</v>
      </c>
      <c r="G1268" s="2" t="s">
        <v>4398</v>
      </c>
      <c r="H1268">
        <v>5.74E-05</v>
      </c>
      <c r="I1268">
        <v>5.04E-05</v>
      </c>
      <c r="J1268">
        <v>0.0001078</v>
      </c>
    </row>
    <row r="1269" spans="1:10">
      <c r="A1269">
        <f>HYPERLINK("https://mega.nz/file/aQUUBaiI#5cvQeqtbk1q3ywVohys1xqBVtvmJ2ru8ultTHt5khPQ", "The Stone Of The Philosophers")</f>
        <v>0</v>
      </c>
      <c r="B1269" t="s">
        <v>435</v>
      </c>
      <c r="C1269" t="s">
        <v>1714</v>
      </c>
      <c r="D1269" t="s">
        <v>3048</v>
      </c>
      <c r="E1269" t="s">
        <v>3117</v>
      </c>
      <c r="F1269" t="s">
        <v>3131</v>
      </c>
      <c r="G1269" s="2" t="s">
        <v>4399</v>
      </c>
      <c r="H1269">
        <v>6.160000000000001E-05</v>
      </c>
      <c r="I1269">
        <v>5.88E-05</v>
      </c>
      <c r="J1269">
        <v>0.0001204</v>
      </c>
    </row>
    <row r="1270" spans="1:10">
      <c r="A1270">
        <f>HYPERLINK("https://mega.nz/file/zdVwwa6S#WCtS5qhc1Lo6rNqFWqVROIzVUvKSarhZemU2WBfbZUY", "El Libro Perdido de Enki")</f>
        <v>0</v>
      </c>
      <c r="B1270" t="s">
        <v>436</v>
      </c>
      <c r="C1270" t="s">
        <v>1715</v>
      </c>
      <c r="D1270" t="s">
        <v>3049</v>
      </c>
      <c r="E1270" t="s">
        <v>3117</v>
      </c>
      <c r="F1270" t="s">
        <v>3130</v>
      </c>
      <c r="G1270" s="2" t="s">
        <v>4400</v>
      </c>
      <c r="H1270">
        <v>6.685E-05</v>
      </c>
      <c r="I1270">
        <v>6.545000000000001E-05</v>
      </c>
      <c r="J1270">
        <v>0.0001323</v>
      </c>
    </row>
    <row r="1271" spans="1:10">
      <c r="A1271">
        <f>HYPERLINK("https://mega.nz/file/jQkXkZTS#Vv2qdILeltAAUFFoV8uw0mj9PSYVcPHtpXnvXskRkU8", "Ars Notoria - The Notary Art")</f>
        <v>0</v>
      </c>
      <c r="B1271" t="s">
        <v>437</v>
      </c>
      <c r="C1271" t="s">
        <v>1716</v>
      </c>
      <c r="D1271" t="s">
        <v>3050</v>
      </c>
      <c r="E1271" t="s">
        <v>3117</v>
      </c>
      <c r="F1271" t="s">
        <v>3131</v>
      </c>
      <c r="G1271" s="2" t="s">
        <v>4401</v>
      </c>
      <c r="H1271">
        <v>5.845E-05</v>
      </c>
      <c r="I1271">
        <v>4.76E-05</v>
      </c>
      <c r="J1271">
        <v>0.00010605</v>
      </c>
    </row>
    <row r="1272" spans="1:10">
      <c r="A1272">
        <f>HYPERLINK("https://mega.nz/file/aVMmiYTC#Wot4nwnI4GqZ_2bg0CtpT4lN4G0QRaV3953IXeXslcE", "La astrologia en los manuscritos medievales")</f>
        <v>0</v>
      </c>
      <c r="B1272" t="s">
        <v>438</v>
      </c>
      <c r="C1272" t="s">
        <v>1717</v>
      </c>
      <c r="D1272" t="s">
        <v>3051</v>
      </c>
      <c r="E1272" t="s">
        <v>3121</v>
      </c>
      <c r="F1272" t="s">
        <v>3130</v>
      </c>
      <c r="G1272" s="2" t="s">
        <v>4402</v>
      </c>
      <c r="H1272">
        <v>6.86E-05</v>
      </c>
      <c r="I1272">
        <v>5.705E-05</v>
      </c>
      <c r="J1272">
        <v>0.00012565</v>
      </c>
    </row>
    <row r="1273" spans="1:10">
      <c r="A1273">
        <f>HYPERLINK("https://mega.nz/file/TMtChQAC#NFq9LL-6vsEnRYMl6WqUP0C3oAh7SOqJrWUOgAkMgU8", "Sabana Santa Respuestas A Un Enigma")</f>
        <v>0</v>
      </c>
      <c r="B1273" t="s">
        <v>439</v>
      </c>
      <c r="C1273" t="s">
        <v>1718</v>
      </c>
      <c r="D1273" t="s">
        <v>3052</v>
      </c>
      <c r="E1273" t="s">
        <v>3117</v>
      </c>
      <c r="F1273" t="s">
        <v>3130</v>
      </c>
      <c r="G1273" s="2" t="s">
        <v>4403</v>
      </c>
      <c r="H1273">
        <v>6.685E-05</v>
      </c>
      <c r="I1273">
        <v>6.265E-05</v>
      </c>
      <c r="J1273">
        <v>0.0001295</v>
      </c>
    </row>
    <row r="1274" spans="1:10">
      <c r="A1274">
        <f>HYPERLINK("https://mega.nz/file/eFlShSpT#DrRsmHfMr2PFitbBLHsY67FpQRae3U9rT56bU3d5I38", "La Revolucion Terapeutica De Las Piramides")</f>
        <v>0</v>
      </c>
      <c r="B1274" t="s">
        <v>440</v>
      </c>
      <c r="C1274" t="s">
        <v>1719</v>
      </c>
      <c r="D1274" t="s">
        <v>3053</v>
      </c>
      <c r="E1274" t="s">
        <v>3117</v>
      </c>
      <c r="F1274" t="s">
        <v>3130</v>
      </c>
      <c r="G1274" s="2" t="s">
        <v>4404</v>
      </c>
      <c r="H1274">
        <v>6.685E-05</v>
      </c>
      <c r="I1274">
        <v>5.565E-05</v>
      </c>
      <c r="J1274">
        <v>0.0001225</v>
      </c>
    </row>
    <row r="1275" spans="1:10">
      <c r="A1275">
        <f>HYPERLINK("https://mega.nz/file/HYkkDZxB#y7U7sBsCNW0q3xgu682GYiy5um_ezlaOg782zE2l0aY", "Saint faust, impreium Magus")</f>
        <v>0</v>
      </c>
      <c r="B1275" t="s">
        <v>441</v>
      </c>
      <c r="C1275" t="s">
        <v>1720</v>
      </c>
      <c r="D1275" t="s">
        <v>3054</v>
      </c>
      <c r="E1275" t="s">
        <v>3117</v>
      </c>
      <c r="F1275" t="s">
        <v>3131</v>
      </c>
      <c r="G1275" s="2" t="s">
        <v>4405</v>
      </c>
      <c r="H1275">
        <v>6.65E-05</v>
      </c>
      <c r="I1275">
        <v>5.915E-05</v>
      </c>
      <c r="J1275">
        <v>0.00012565</v>
      </c>
    </row>
    <row r="1276" spans="1:10">
      <c r="A1276">
        <f>HYPERLINK("https://mega.nz/file/DRkhXDCZ#NtMb7CXI0zuxA6y3an4SWWC7JeOtKz1ZflIusvfugGc", "Thought Power")</f>
        <v>0</v>
      </c>
      <c r="B1276" t="s">
        <v>442</v>
      </c>
      <c r="C1276" t="s">
        <v>1721</v>
      </c>
      <c r="D1276" t="s">
        <v>3055</v>
      </c>
      <c r="E1276" t="s">
        <v>3117</v>
      </c>
      <c r="F1276" t="s">
        <v>3131</v>
      </c>
      <c r="G1276" s="2" t="s">
        <v>4406</v>
      </c>
      <c r="H1276">
        <v>5.95E-05</v>
      </c>
      <c r="I1276">
        <v>5.53E-05</v>
      </c>
      <c r="J1276">
        <v>0.0001148</v>
      </c>
    </row>
    <row r="1277" spans="1:10">
      <c r="A1277">
        <f>HYPERLINK("https://mega.nz/file/idNB3BoQ#Ws1hrcRn8WAXK7TZNhMh8QSCkfx2XchcTdkU1CV9jdQ", "La danza en espiral")</f>
        <v>0</v>
      </c>
      <c r="B1277" t="s">
        <v>443</v>
      </c>
      <c r="C1277" t="s">
        <v>1722</v>
      </c>
      <c r="D1277" t="s">
        <v>3056</v>
      </c>
      <c r="E1277" t="s">
        <v>3117</v>
      </c>
      <c r="F1277" t="s">
        <v>3130</v>
      </c>
      <c r="G1277" s="2" t="s">
        <v>4407</v>
      </c>
      <c r="H1277">
        <v>5.95E-05</v>
      </c>
      <c r="I1277">
        <v>5.95E-05</v>
      </c>
      <c r="J1277">
        <v>0.000119</v>
      </c>
    </row>
    <row r="1278" spans="1:10">
      <c r="A1278">
        <f>HYPERLINK("https://mega.nz/file/DIdhHQxL#X1Nv9q1XCKZ_NBkeuvZ6VPqd5IJlsr2jsVX0PhFT9gY", "La Filosofia de La Libertad")</f>
        <v>0</v>
      </c>
      <c r="B1278" t="s">
        <v>444</v>
      </c>
      <c r="C1278" t="s">
        <v>1723</v>
      </c>
      <c r="D1278" t="s">
        <v>3057</v>
      </c>
      <c r="E1278" t="s">
        <v>3117</v>
      </c>
      <c r="F1278" t="s">
        <v>3130</v>
      </c>
      <c r="G1278" s="2" t="s">
        <v>4408</v>
      </c>
      <c r="H1278">
        <v>6.160000000000001E-05</v>
      </c>
      <c r="I1278">
        <v>5.74E-05</v>
      </c>
      <c r="J1278">
        <v>0.000119</v>
      </c>
    </row>
    <row r="1279" spans="1:10">
      <c r="A1279">
        <f>HYPERLINK("https://mega.nz/file/DB12TB6A#kzdyF_HscBUHZv409PgH8LuLtA7nMCDuym6hSkn05R4", "El Cristianismo Y Los Misterios De La Antiguedad")</f>
        <v>0</v>
      </c>
      <c r="B1279" t="s">
        <v>445</v>
      </c>
      <c r="C1279" t="s">
        <v>1724</v>
      </c>
      <c r="D1279" t="s">
        <v>3058</v>
      </c>
      <c r="E1279" t="s">
        <v>3117</v>
      </c>
      <c r="F1279" t="s">
        <v>3130</v>
      </c>
      <c r="G1279" s="2" t="s">
        <v>4409</v>
      </c>
      <c r="H1279">
        <v>6.895E-05</v>
      </c>
      <c r="I1279">
        <v>5.565E-05</v>
      </c>
      <c r="J1279">
        <v>0.0001246</v>
      </c>
    </row>
    <row r="1280" spans="1:10">
      <c r="A1280">
        <f>HYPERLINK("https://mega.nz/file/jEd0ADqY#H2D9zd0ppynanZnnfhCBhnPMlIPekdKjAs80Eznh0Wo", "El Misterios de los RosaCruces")</f>
        <v>0</v>
      </c>
      <c r="B1280" t="s">
        <v>445</v>
      </c>
      <c r="C1280" t="s">
        <v>1725</v>
      </c>
      <c r="D1280" t="s">
        <v>3059</v>
      </c>
      <c r="E1280" t="s">
        <v>3117</v>
      </c>
      <c r="F1280" t="s">
        <v>3130</v>
      </c>
      <c r="G1280" s="2" t="s">
        <v>4410</v>
      </c>
      <c r="H1280">
        <v>6.37E-05</v>
      </c>
      <c r="I1280">
        <v>6.02E-05</v>
      </c>
      <c r="J1280">
        <v>0.0001239</v>
      </c>
    </row>
    <row r="1281" spans="1:10">
      <c r="A1281">
        <f>HYPERLINK("https://mega.nz/file/2QMHDIDS#RUKu9ZJRV8-1nErld8HGzXQFdq92ncBodzE67SpuErs", "Guia para el conocimiento")</f>
        <v>0</v>
      </c>
      <c r="B1281" t="s">
        <v>445</v>
      </c>
      <c r="C1281" t="s">
        <v>1726</v>
      </c>
      <c r="D1281" t="s">
        <v>3060</v>
      </c>
      <c r="E1281" t="s">
        <v>3117</v>
      </c>
      <c r="F1281" t="s">
        <v>3130</v>
      </c>
      <c r="G1281" s="2" t="s">
        <v>4411</v>
      </c>
      <c r="H1281">
        <v>6.055E-05</v>
      </c>
      <c r="I1281">
        <v>5.495E-05</v>
      </c>
      <c r="J1281">
        <v>0.0001155</v>
      </c>
    </row>
    <row r="1282" spans="1:10">
      <c r="A1282">
        <f>HYPERLINK("https://mega.nz/file/aMNiDbYC#IWGXKPBQ0YfnJKCBYSU8ook-pktp_ZgA-PKtpciJmxE", "Mitos Y Misterios Egipcios")</f>
        <v>0</v>
      </c>
      <c r="B1282" t="s">
        <v>445</v>
      </c>
      <c r="C1282" t="s">
        <v>1727</v>
      </c>
      <c r="D1282" t="s">
        <v>3061</v>
      </c>
      <c r="E1282" t="s">
        <v>3117</v>
      </c>
      <c r="F1282" t="s">
        <v>3130</v>
      </c>
      <c r="G1282" s="2" t="s">
        <v>4412</v>
      </c>
      <c r="H1282">
        <v>6.37E-05</v>
      </c>
      <c r="I1282">
        <v>6.09E-05</v>
      </c>
      <c r="J1282">
        <v>0.0001246</v>
      </c>
    </row>
    <row r="1283" spans="1:10">
      <c r="A1283">
        <f>HYPERLINK("https://mega.nz/file/KcdCwKrY#KJpN5PBEPkvpYzLiZoaMAjcz7WEAStyYaGCcgPJo__M", "Significado de la sangre")</f>
        <v>0</v>
      </c>
      <c r="B1283" t="s">
        <v>445</v>
      </c>
      <c r="C1283" t="s">
        <v>1728</v>
      </c>
      <c r="D1283" t="s">
        <v>3062</v>
      </c>
      <c r="E1283" t="s">
        <v>3117</v>
      </c>
      <c r="F1283" t="s">
        <v>3130</v>
      </c>
      <c r="G1283" s="2" t="s">
        <v>4413</v>
      </c>
      <c r="H1283">
        <v>6.055E-05</v>
      </c>
      <c r="I1283">
        <v>5.775E-05</v>
      </c>
      <c r="J1283">
        <v>0.0001183</v>
      </c>
    </row>
    <row r="1284" spans="1:10">
      <c r="A1284">
        <f>HYPERLINK("https://mega.nz/file/fVtx3CKY#hCUz97okUCvcqirJfs5AlQMnRDOxUeNcPv9nFqpFI5s", "Shaping Formless Fire")</f>
        <v>0</v>
      </c>
      <c r="B1284" t="s">
        <v>446</v>
      </c>
      <c r="C1284" t="s">
        <v>1729</v>
      </c>
      <c r="D1284" t="s">
        <v>3063</v>
      </c>
      <c r="E1284" t="s">
        <v>3117</v>
      </c>
      <c r="F1284" t="s">
        <v>3131</v>
      </c>
      <c r="G1284" s="2" t="s">
        <v>4414</v>
      </c>
      <c r="H1284">
        <v>5.915E-05</v>
      </c>
      <c r="I1284">
        <v>5.32E-05</v>
      </c>
      <c r="J1284">
        <v>0.00011235</v>
      </c>
    </row>
    <row r="1285" spans="1:10">
      <c r="A1285">
        <f>HYPERLINK("https://mega.nz/file/Tc031BrJ#9uYv3sKqgeLbz6vU03ijURcu5J_W6fx_AScJCmVY9Fs", "Stealing the Fire From Heaven")</f>
        <v>0</v>
      </c>
      <c r="B1285" t="s">
        <v>446</v>
      </c>
      <c r="C1285" t="s">
        <v>1730</v>
      </c>
      <c r="D1285" t="s">
        <v>3064</v>
      </c>
      <c r="E1285" t="s">
        <v>3117</v>
      </c>
      <c r="F1285" t="s">
        <v>3131</v>
      </c>
      <c r="G1285" s="2" t="s">
        <v>4415</v>
      </c>
      <c r="H1285">
        <v>6.055E-05</v>
      </c>
      <c r="I1285">
        <v>4.725E-05</v>
      </c>
      <c r="J1285">
        <v>0.0001078</v>
      </c>
    </row>
    <row r="1286" spans="1:10">
      <c r="A1286">
        <f>HYPERLINK("https://mega.nz/file/6ANjiZCY#5sWK3bs5Azy50gRLfz5-lazN-iAFeo6g-Fs2mCw3Qzg", "Hatha Yoga Pradipika")</f>
        <v>0</v>
      </c>
      <c r="B1286" t="s">
        <v>447</v>
      </c>
      <c r="C1286" t="s">
        <v>1731</v>
      </c>
      <c r="D1286" t="s">
        <v>3065</v>
      </c>
      <c r="E1286" t="s">
        <v>3119</v>
      </c>
      <c r="F1286" t="s">
        <v>3131</v>
      </c>
      <c r="G1286" s="2" t="s">
        <v>4416</v>
      </c>
      <c r="H1286">
        <v>6.37E-05</v>
      </c>
      <c r="I1286">
        <v>6.51E-05</v>
      </c>
      <c r="J1286">
        <v>0.0001288</v>
      </c>
    </row>
    <row r="1287" spans="1:10">
      <c r="A1287">
        <f>HYPERLINK("https://mega.nz/file/WdFRWTKJ#U2P70hAAG7ewEQ0xiczw9Y7zvFCEzx1XxoE12ETLpb8", "The Lost Journals of Nikola Tesla - HAARP")</f>
        <v>0</v>
      </c>
      <c r="B1287" t="s">
        <v>448</v>
      </c>
      <c r="C1287" t="s">
        <v>1732</v>
      </c>
      <c r="D1287" t="s">
        <v>3066</v>
      </c>
      <c r="E1287" t="s">
        <v>3117</v>
      </c>
      <c r="F1287" t="s">
        <v>3131</v>
      </c>
      <c r="G1287" s="2" t="s">
        <v>4417</v>
      </c>
      <c r="H1287">
        <v>6.405E-05</v>
      </c>
      <c r="I1287">
        <v>5.6E-05</v>
      </c>
      <c r="J1287">
        <v>0.00012005</v>
      </c>
    </row>
    <row r="1288" spans="1:10">
      <c r="A1288">
        <f>HYPERLINK("https://mega.nz/file/zZNHnJKJ#pXXJWiQY5-MWc5MU24d0_yxlvFe2T0D74NrNbKCFlIM", "Enigmas De La Historia")</f>
        <v>0</v>
      </c>
      <c r="B1288" t="s">
        <v>449</v>
      </c>
      <c r="C1288" t="s">
        <v>1733</v>
      </c>
      <c r="D1288" t="s">
        <v>3067</v>
      </c>
      <c r="E1288" t="s">
        <v>3117</v>
      </c>
      <c r="F1288" t="s">
        <v>3130</v>
      </c>
      <c r="G1288" s="2" t="s">
        <v>4418</v>
      </c>
      <c r="H1288">
        <v>6.055E-05</v>
      </c>
      <c r="I1288">
        <v>5.635E-05</v>
      </c>
      <c r="J1288">
        <v>0.0001169</v>
      </c>
    </row>
    <row r="1289" spans="1:10">
      <c r="A1289">
        <f>HYPERLINK("https://mega.nz/file/WI9EiKJY#zuOlWYJSyEAcQ3fS6x8NxWm1XR11BGfq1YbNgAT0ZOQ", "Acient Egyptian History")</f>
        <v>0</v>
      </c>
      <c r="B1289" t="s">
        <v>450</v>
      </c>
      <c r="C1289" t="s">
        <v>1734</v>
      </c>
      <c r="D1289" t="s">
        <v>3068</v>
      </c>
      <c r="E1289" t="s">
        <v>3128</v>
      </c>
      <c r="F1289" t="s">
        <v>3131</v>
      </c>
      <c r="G1289" s="2" t="s">
        <v>4419</v>
      </c>
      <c r="H1289">
        <v>5.95E-05</v>
      </c>
      <c r="I1289">
        <v>5.25E-05</v>
      </c>
      <c r="J1289">
        <v>0.000112</v>
      </c>
    </row>
    <row r="1290" spans="1:10">
      <c r="A1290">
        <f>HYPERLINK("https://mega.nz/file/XRMRmCRQ#j_wygrBk1MnSF13j13Il3g1IfeklNDzp2Wi6457jSrA", "Acient Egyptian History 2")</f>
        <v>0</v>
      </c>
      <c r="B1290" t="s">
        <v>450</v>
      </c>
      <c r="C1290" t="s">
        <v>1735</v>
      </c>
      <c r="D1290" t="s">
        <v>3069</v>
      </c>
      <c r="E1290" t="s">
        <v>3128</v>
      </c>
      <c r="F1290" t="s">
        <v>3131</v>
      </c>
      <c r="G1290" s="2" t="s">
        <v>4420</v>
      </c>
      <c r="H1290">
        <v>6.160000000000001E-05</v>
      </c>
      <c r="I1290">
        <v>4.62E-05</v>
      </c>
      <c r="J1290">
        <v>0.0001078</v>
      </c>
    </row>
    <row r="1291" spans="1:10">
      <c r="A1291">
        <f>HYPERLINK("https://mega.nz/file/CFdjSLhK#Vw7UmrVnDt8CnNsYdI4Z8txbGYWFc02A0duU2RDCpNY", "Lectures on Alchemy")</f>
        <v>0</v>
      </c>
      <c r="B1291" t="s">
        <v>451</v>
      </c>
      <c r="C1291" t="s">
        <v>1736</v>
      </c>
      <c r="D1291" t="s">
        <v>3070</v>
      </c>
      <c r="E1291" t="s">
        <v>1584</v>
      </c>
      <c r="F1291" t="s">
        <v>3131</v>
      </c>
      <c r="G1291" s="2" t="s">
        <v>4421</v>
      </c>
      <c r="H1291">
        <v>5.985E-05</v>
      </c>
      <c r="I1291">
        <v>5.6E-05</v>
      </c>
      <c r="J1291">
        <v>0.00011585</v>
      </c>
    </row>
    <row r="1292" spans="1:10">
      <c r="A1292">
        <f>HYPERLINK("https://mega.nz/file/PNlR2IpY#D7fROZ7ygrze8bCw0Z6E2g6ZKYmdxvBiNBNfS3Owk24", "An Essay on Demonology")</f>
        <v>0</v>
      </c>
      <c r="B1292" t="s">
        <v>452</v>
      </c>
      <c r="C1292" t="s">
        <v>1737</v>
      </c>
      <c r="D1292" t="s">
        <v>3071</v>
      </c>
      <c r="E1292" t="s">
        <v>3117</v>
      </c>
      <c r="F1292" t="s">
        <v>3131</v>
      </c>
      <c r="G1292" s="2" t="s">
        <v>4422</v>
      </c>
      <c r="H1292">
        <v>5.95E-05</v>
      </c>
      <c r="I1292">
        <v>5.53E-05</v>
      </c>
      <c r="J1292">
        <v>0.0001148</v>
      </c>
    </row>
    <row r="1293" spans="1:10">
      <c r="A1293">
        <f>HYPERLINK("https://mega.nz/file/3N8WFIhb#o_dVCOKerRd2Loow7XPE1ZgZ7sL-Qaf-fQvPIAdFiRE", "Elizabethan Demonology")</f>
        <v>0</v>
      </c>
      <c r="B1293" t="s">
        <v>453</v>
      </c>
      <c r="C1293" t="s">
        <v>1738</v>
      </c>
      <c r="D1293" t="s">
        <v>3072</v>
      </c>
      <c r="E1293" t="s">
        <v>3117</v>
      </c>
      <c r="F1293" t="s">
        <v>3131</v>
      </c>
      <c r="G1293" s="2" t="s">
        <v>4423</v>
      </c>
      <c r="H1293">
        <v>5.915E-05</v>
      </c>
      <c r="I1293">
        <v>5.67E-05</v>
      </c>
      <c r="J1293">
        <v>0.00011585</v>
      </c>
    </row>
    <row r="1294" spans="1:10">
      <c r="A1294">
        <f>HYPERLINK("https://mega.nz/file/yUsFCLYQ#3WOR08HSBb_VzQ_k7VcaFCAAerNgxMMYi1ET76nuOdQ", "Our Financial Masters (How the Bank of England controls the British government)")</f>
        <v>0</v>
      </c>
      <c r="B1294" t="s">
        <v>454</v>
      </c>
      <c r="C1294" t="s">
        <v>1739</v>
      </c>
      <c r="D1294" t="s">
        <v>3073</v>
      </c>
      <c r="E1294" t="s">
        <v>3117</v>
      </c>
      <c r="F1294" t="s">
        <v>3131</v>
      </c>
      <c r="G1294" s="2" t="s">
        <v>4424</v>
      </c>
      <c r="H1294">
        <v>6.895E-05</v>
      </c>
      <c r="I1294">
        <v>4.515E-05</v>
      </c>
      <c r="J1294">
        <v>0.0001141</v>
      </c>
    </row>
    <row r="1295" spans="1:10">
      <c r="A1295">
        <f>HYPERLINK("https://mega.nz/file/GRsxESIB#GLiMbY6l7OkFbVvV8nIgOjCkBeyIFgVTy8PjR3d6sXA", "The Coming Corporate State")</f>
        <v>0</v>
      </c>
      <c r="B1295" t="s">
        <v>454</v>
      </c>
      <c r="C1295" t="s">
        <v>1740</v>
      </c>
      <c r="D1295" t="s">
        <v>3074</v>
      </c>
      <c r="E1295" t="s">
        <v>3117</v>
      </c>
      <c r="F1295" t="s">
        <v>3131</v>
      </c>
      <c r="G1295" s="2" t="s">
        <v>4425</v>
      </c>
      <c r="H1295">
        <v>6.09E-05</v>
      </c>
      <c r="I1295">
        <v>6.09E-05</v>
      </c>
      <c r="J1295">
        <v>0.0001218</v>
      </c>
    </row>
    <row r="1296" spans="1:10">
      <c r="A1296">
        <f>HYPERLINK("https://mega.nz/file/OQ8AhYrA#oGeChXS2OmvqiLyxAmuSiQoInfYs_zPS7zb8r4LCqiA", "The Tibetan Book of the Dead")</f>
        <v>0</v>
      </c>
      <c r="B1296" t="s">
        <v>455</v>
      </c>
      <c r="C1296" t="s">
        <v>1741</v>
      </c>
      <c r="D1296" t="s">
        <v>3075</v>
      </c>
      <c r="E1296" t="s">
        <v>3117</v>
      </c>
      <c r="F1296" t="s">
        <v>3131</v>
      </c>
      <c r="G1296" s="2" t="s">
        <v>4426</v>
      </c>
      <c r="H1296">
        <v>6.160000000000001E-05</v>
      </c>
      <c r="I1296">
        <v>5.53E-05</v>
      </c>
      <c r="J1296">
        <v>0.0001169</v>
      </c>
    </row>
    <row r="1297" spans="1:10">
      <c r="A1297">
        <f>HYPERLINK("https://mega.nz/file/rUthTBTC#MolHUI5zmzV5mHN0kBwCFD90YxoIzWb7GCq9I__3_lI", "Dictionary of Deities and Demons in the Bible")</f>
        <v>0</v>
      </c>
      <c r="B1297" t="s">
        <v>456</v>
      </c>
      <c r="C1297" t="s">
        <v>1742</v>
      </c>
      <c r="D1297" t="s">
        <v>3076</v>
      </c>
      <c r="E1297" t="s">
        <v>3117</v>
      </c>
      <c r="F1297" t="s">
        <v>3131</v>
      </c>
      <c r="G1297" s="2" t="s">
        <v>4427</v>
      </c>
      <c r="H1297">
        <v>7.7E-05</v>
      </c>
      <c r="I1297">
        <v>5.705E-05</v>
      </c>
      <c r="J1297">
        <v>0.00013405</v>
      </c>
    </row>
    <row r="1298" spans="1:10">
      <c r="A1298">
        <f>HYPERLINK("https://mega.nz/file/XJsXBDSD#1eC2mt0Oup8j4RQQF75aqxm611CNoMb-M_AmQwt6erA", "La Arqueologia Misteriosa")</f>
        <v>0</v>
      </c>
      <c r="B1298" t="s">
        <v>457</v>
      </c>
      <c r="C1298" t="s">
        <v>1743</v>
      </c>
      <c r="D1298" t="s">
        <v>3077</v>
      </c>
      <c r="E1298" t="s">
        <v>3117</v>
      </c>
      <c r="F1298" t="s">
        <v>3130</v>
      </c>
      <c r="G1298" s="2" t="s">
        <v>4428</v>
      </c>
      <c r="H1298">
        <v>6.265E-05</v>
      </c>
      <c r="I1298">
        <v>6.405E-05</v>
      </c>
      <c r="J1298">
        <v>0.0001267</v>
      </c>
    </row>
    <row r="1299" spans="1:10">
      <c r="A1299">
        <f>HYPERLINK("https://mega.nz/file/yFElCCQY#Qkq18dXX2XVfzR8Hg320WQaaWevIPtllc1HJttS8xlU", "Hitler La Conspiración de Las Tinieblas")</f>
        <v>0</v>
      </c>
      <c r="B1299" t="s">
        <v>458</v>
      </c>
      <c r="C1299" t="s">
        <v>1744</v>
      </c>
      <c r="D1299" t="s">
        <v>3078</v>
      </c>
      <c r="E1299" t="s">
        <v>3117</v>
      </c>
      <c r="F1299" t="s">
        <v>3130</v>
      </c>
      <c r="G1299" s="2" t="s">
        <v>4429</v>
      </c>
      <c r="H1299">
        <v>7.035E-05</v>
      </c>
      <c r="I1299">
        <v>5.67E-05</v>
      </c>
      <c r="J1299">
        <v>0.00012705</v>
      </c>
    </row>
    <row r="1300" spans="1:10">
      <c r="A1300">
        <f>HYPERLINK("https://mega.nz/file/vUsXDaxB#1lzYrHaUQrbzBGqh7IY3eVWxFbuSlWisugcjlKKwWMk", "Arbetel of Magick")</f>
        <v>0</v>
      </c>
      <c r="B1300" t="s">
        <v>459</v>
      </c>
      <c r="C1300" t="s">
        <v>1745</v>
      </c>
      <c r="D1300" t="s">
        <v>3079</v>
      </c>
      <c r="E1300" t="s">
        <v>3117</v>
      </c>
      <c r="F1300" t="s">
        <v>3131</v>
      </c>
      <c r="G1300" s="2" t="s">
        <v>4430</v>
      </c>
      <c r="H1300">
        <v>6.160000000000001E-05</v>
      </c>
      <c r="I1300">
        <v>5.25E-05</v>
      </c>
      <c r="J1300">
        <v>0.0001141</v>
      </c>
    </row>
    <row r="1301" spans="1:10">
      <c r="A1301">
        <f>HYPERLINK("https://mega.nz/file/bdFBTYBJ#51M_nkSVzNT9WpJinqbHs6HBmP26WUIKHL1wibW1SfU", "Caching Techniques (Hiding &amp; Storing Stuff Safely)")</f>
        <v>0</v>
      </c>
      <c r="B1301" t="s">
        <v>460</v>
      </c>
      <c r="C1301" t="s">
        <v>1746</v>
      </c>
      <c r="D1301" t="s">
        <v>3080</v>
      </c>
      <c r="E1301" t="s">
        <v>3117</v>
      </c>
      <c r="F1301" t="s">
        <v>3131</v>
      </c>
      <c r="G1301" s="2" t="s">
        <v>4431</v>
      </c>
      <c r="H1301">
        <v>7.105000000000001E-05</v>
      </c>
      <c r="I1301">
        <v>5.355E-05</v>
      </c>
      <c r="J1301">
        <v>0.0001246</v>
      </c>
    </row>
    <row r="1302" spans="1:10">
      <c r="A1302">
        <f>HYPERLINK("https://mega.nz/file/KBMTTLIQ#ubQbr00tKKyEwf922eXmyq9IttP-2rCMBuzKoxH35gY", "Become Evil and Rule the World")</f>
        <v>0</v>
      </c>
      <c r="B1302" t="s">
        <v>461</v>
      </c>
      <c r="C1302" t="s">
        <v>1747</v>
      </c>
      <c r="D1302" t="s">
        <v>3081</v>
      </c>
      <c r="E1302" t="s">
        <v>3117</v>
      </c>
      <c r="F1302" t="s">
        <v>3131</v>
      </c>
      <c r="G1302" s="2" t="s">
        <v>4432</v>
      </c>
      <c r="H1302">
        <v>6.405E-05</v>
      </c>
      <c r="I1302">
        <v>5.635E-05</v>
      </c>
      <c r="J1302">
        <v>0.0001204</v>
      </c>
    </row>
    <row r="1303" spans="1:10">
      <c r="A1303">
        <f>HYPERLINK("https://mega.nz/file/7VN1hSDY#7UIvt9f6xxEA1AspWFWa8Jd5wynpgu-tw-6cE_zABOU", "Why We Bother to Deal with Society")</f>
        <v>0</v>
      </c>
      <c r="B1303" t="s">
        <v>461</v>
      </c>
      <c r="C1303" t="s">
        <v>1748</v>
      </c>
      <c r="D1303" t="s">
        <v>3082</v>
      </c>
      <c r="E1303" t="s">
        <v>3117</v>
      </c>
      <c r="F1303" t="s">
        <v>3131</v>
      </c>
      <c r="G1303" s="2" t="s">
        <v>4433</v>
      </c>
      <c r="H1303">
        <v>6.545000000000001E-05</v>
      </c>
      <c r="I1303">
        <v>4.655E-05</v>
      </c>
      <c r="J1303">
        <v>0.000112</v>
      </c>
    </row>
    <row r="1304" spans="1:10">
      <c r="A1304">
        <f>HYPERLINK("https://mega.nz/file/eJcAnSYI#RZ0q0fdjOlmmtATIt6zs0iNwHXdkg7aAD-_O4oD0sjc", "Become Evil and Rule the World 2")</f>
        <v>0</v>
      </c>
      <c r="B1304" t="s">
        <v>462</v>
      </c>
      <c r="C1304" t="s">
        <v>1749</v>
      </c>
      <c r="D1304" t="s">
        <v>3083</v>
      </c>
      <c r="E1304" t="s">
        <v>3117</v>
      </c>
      <c r="F1304" t="s">
        <v>3131</v>
      </c>
      <c r="G1304" s="2" t="s">
        <v>4434</v>
      </c>
      <c r="H1304">
        <v>6.685E-05</v>
      </c>
      <c r="I1304">
        <v>6.055E-05</v>
      </c>
      <c r="J1304">
        <v>0.0001274</v>
      </c>
    </row>
    <row r="1305" spans="1:10">
      <c r="A1305">
        <f>HYPERLINK("https://mega.nz/file/bBEVASCB#BZC6QRUwRGyP1LcZ1zrFmwjfAp_K8bMsn50SqMTGFNY", "Perform a Ritual Toasting")</f>
        <v>0</v>
      </c>
      <c r="B1305" t="s">
        <v>462</v>
      </c>
      <c r="C1305" t="s">
        <v>1750</v>
      </c>
      <c r="D1305" t="s">
        <v>3084</v>
      </c>
      <c r="E1305" t="s">
        <v>3117</v>
      </c>
      <c r="F1305" t="s">
        <v>3131</v>
      </c>
      <c r="G1305" s="2" t="s">
        <v>4435</v>
      </c>
      <c r="H1305">
        <v>6.37E-05</v>
      </c>
      <c r="I1305">
        <v>5.74E-05</v>
      </c>
      <c r="J1305">
        <v>0.0001211</v>
      </c>
    </row>
    <row r="1306" spans="1:10">
      <c r="A1306">
        <f>HYPERLINK("https://mega.nz/file/PZ1FGZoY#pbFvxEzBEBS44Mzkt05Vj3O08qsvAPDjOtHn5wSCNCg", "Practice Divinity in Your Own Life")</f>
        <v>0</v>
      </c>
      <c r="B1306" t="s">
        <v>462</v>
      </c>
      <c r="C1306" t="s">
        <v>1751</v>
      </c>
      <c r="D1306" t="s">
        <v>3085</v>
      </c>
      <c r="E1306" t="s">
        <v>3117</v>
      </c>
      <c r="F1306" t="s">
        <v>3131</v>
      </c>
      <c r="G1306" s="2" t="s">
        <v>4436</v>
      </c>
      <c r="H1306">
        <v>6.475E-05</v>
      </c>
      <c r="I1306">
        <v>5.425E-05</v>
      </c>
      <c r="J1306">
        <v>0.000119</v>
      </c>
    </row>
    <row r="1307" spans="1:10">
      <c r="A1307">
        <f>HYPERLINK("https://mega.nz/file/6M0QWJiC#VC0Qonmag7BMenVFpYvwwlsWCMRR_lBLjg6u14IkVBc", "The Heroic Society")</f>
        <v>0</v>
      </c>
      <c r="B1307" t="s">
        <v>462</v>
      </c>
      <c r="C1307" t="s">
        <v>1752</v>
      </c>
      <c r="D1307" t="s">
        <v>3086</v>
      </c>
      <c r="E1307" t="s">
        <v>3117</v>
      </c>
      <c r="F1307" t="s">
        <v>3131</v>
      </c>
      <c r="G1307" s="2" t="s">
        <v>4437</v>
      </c>
      <c r="H1307">
        <v>6.265E-05</v>
      </c>
      <c r="I1307">
        <v>5.705E-05</v>
      </c>
      <c r="J1307">
        <v>0.0001197</v>
      </c>
    </row>
    <row r="1308" spans="1:10">
      <c r="A1308">
        <f>HYPERLINK("https://mega.nz/file/iY0TBAJA#M1ntbmqAhJrXIW5qBP3f80yiPtZ5O9pTW3aujd0CWe8", "Timing in Greater and Lesser Black Magic")</f>
        <v>0</v>
      </c>
      <c r="B1308" t="s">
        <v>462</v>
      </c>
      <c r="C1308" t="s">
        <v>1753</v>
      </c>
      <c r="D1308" t="s">
        <v>3087</v>
      </c>
      <c r="E1308" t="s">
        <v>3117</v>
      </c>
      <c r="F1308" t="s">
        <v>3131</v>
      </c>
      <c r="G1308" s="2" t="s">
        <v>4438</v>
      </c>
      <c r="H1308">
        <v>6.58E-05</v>
      </c>
      <c r="I1308">
        <v>5.32E-05</v>
      </c>
      <c r="J1308">
        <v>0.000119</v>
      </c>
    </row>
    <row r="1309" spans="1:10">
      <c r="A1309">
        <f>HYPERLINK("https://mega.nz/file/qE1HELpB#_UcSnSudrD4rW1Wqqj09QDMMSMMPo00HpYfa8MqySqI", "Understanding Darkness")</f>
        <v>0</v>
      </c>
      <c r="B1309" t="s">
        <v>462</v>
      </c>
      <c r="C1309" t="s">
        <v>1754</v>
      </c>
      <c r="D1309" t="s">
        <v>3088</v>
      </c>
      <c r="E1309" t="s">
        <v>3117</v>
      </c>
      <c r="F1309" t="s">
        <v>3131</v>
      </c>
      <c r="G1309" s="2" t="s">
        <v>4439</v>
      </c>
      <c r="H1309">
        <v>6.055E-05</v>
      </c>
      <c r="I1309">
        <v>5.005E-05</v>
      </c>
      <c r="J1309">
        <v>0.0001106</v>
      </c>
    </row>
    <row r="1310" spans="1:10">
      <c r="A1310">
        <f>HYPERLINK("https://mega.nz/file/DZVQGahR#fJXhrmteWVz6azCC4N2cEKvUu2fzuPxi8pTf6O2ta3Y", "El secreto de los oraculos")</f>
        <v>0</v>
      </c>
      <c r="B1310" t="s">
        <v>463</v>
      </c>
      <c r="C1310" t="s">
        <v>1755</v>
      </c>
      <c r="D1310" t="s">
        <v>3089</v>
      </c>
      <c r="E1310" t="s">
        <v>3117</v>
      </c>
      <c r="F1310" t="s">
        <v>3130</v>
      </c>
      <c r="G1310" s="2" t="s">
        <v>4440</v>
      </c>
      <c r="H1310">
        <v>6.58E-05</v>
      </c>
      <c r="I1310">
        <v>5.67E-05</v>
      </c>
      <c r="J1310">
        <v>0.0001225</v>
      </c>
    </row>
    <row r="1311" spans="1:10">
      <c r="A1311">
        <f>HYPERLINK("https://mega.nz/file/WRdF3LIB#2sykwYB861ZAaR3zRLvBPu9B34R7HISrWhLH7KMNfF8", "Luciferian Initiation")</f>
        <v>0</v>
      </c>
      <c r="B1311" t="s">
        <v>464</v>
      </c>
      <c r="C1311" t="s">
        <v>1756</v>
      </c>
      <c r="D1311" t="s">
        <v>3090</v>
      </c>
      <c r="E1311" t="s">
        <v>3127</v>
      </c>
      <c r="F1311" t="s">
        <v>3131</v>
      </c>
      <c r="G1311" s="2" t="s">
        <v>4441</v>
      </c>
      <c r="H1311">
        <v>5.95E-05</v>
      </c>
      <c r="I1311">
        <v>5.25E-05</v>
      </c>
      <c r="J1311">
        <v>0.000112</v>
      </c>
    </row>
    <row r="1312" spans="1:10">
      <c r="A1312">
        <f>HYPERLINK("https://mega.nz/file/jYVgjBoJ#Bp-vBfWLv_WyZhkGWFpMRIbr8ThkP2TZr_A8xy8BoTs", "Conspiracion Contra Las Sagradas Escrituras")</f>
        <v>0</v>
      </c>
      <c r="B1312" t="s">
        <v>465</v>
      </c>
      <c r="C1312" t="s">
        <v>1757</v>
      </c>
      <c r="D1312" t="s">
        <v>3091</v>
      </c>
      <c r="E1312" t="s">
        <v>3117</v>
      </c>
      <c r="F1312" t="s">
        <v>3130</v>
      </c>
      <c r="G1312" s="2" t="s">
        <v>4442</v>
      </c>
      <c r="H1312">
        <v>6.475E-05</v>
      </c>
      <c r="I1312">
        <v>6.405E-05</v>
      </c>
      <c r="J1312">
        <v>0.0001288</v>
      </c>
    </row>
    <row r="1313" spans="1:10">
      <c r="A1313">
        <f>HYPERLINK("https://mega.nz/file/2Et3yYaJ#8G9R_qGfLsjD6gmJRU1xk3-l4545g5hNSRDqZziVKWI", "Pictorial Key Of The Tarot")</f>
        <v>0</v>
      </c>
      <c r="B1313" t="s">
        <v>466</v>
      </c>
      <c r="C1313" t="s">
        <v>1758</v>
      </c>
      <c r="D1313" t="s">
        <v>3092</v>
      </c>
      <c r="E1313" t="s">
        <v>1188</v>
      </c>
      <c r="F1313" t="s">
        <v>3131</v>
      </c>
      <c r="G1313" s="2" t="s">
        <v>4443</v>
      </c>
      <c r="H1313">
        <v>6.055E-05</v>
      </c>
      <c r="I1313">
        <v>5.705E-05</v>
      </c>
      <c r="J1313">
        <v>0.0001176</v>
      </c>
    </row>
    <row r="1314" spans="1:10">
      <c r="A1314">
        <f>HYPERLINK("https://mega.nz/file/OB8CWIpA#0l45-Jz5ryQJGyVkKCKAeH3AmH0_wBeoVhTacMKi-8Q", "PKT")</f>
        <v>0</v>
      </c>
      <c r="B1314" t="s">
        <v>466</v>
      </c>
      <c r="C1314" t="s">
        <v>1759</v>
      </c>
      <c r="D1314" t="s">
        <v>3093</v>
      </c>
      <c r="E1314" t="s">
        <v>3117</v>
      </c>
      <c r="F1314" t="s">
        <v>3131</v>
      </c>
      <c r="G1314" s="2" t="s">
        <v>4444</v>
      </c>
      <c r="H1314">
        <v>5.6E-05</v>
      </c>
      <c r="I1314">
        <v>5.215E-05</v>
      </c>
      <c r="J1314">
        <v>0.00010815</v>
      </c>
    </row>
    <row r="1315" spans="1:10">
      <c r="A1315">
        <f>HYPERLINK("https://mega.nz/file/Cc0BhZCZ#aqPxrNgULl-QungIhS8z1Ttwy97yxXndoPzHcKjOG7U", "El Origen Salvaje: Ritos de Sacrificio y Mito entre los Griegos")</f>
        <v>0</v>
      </c>
      <c r="B1315" t="s">
        <v>467</v>
      </c>
      <c r="C1315" t="s">
        <v>1760</v>
      </c>
      <c r="D1315" t="s">
        <v>3094</v>
      </c>
      <c r="E1315" t="s">
        <v>3117</v>
      </c>
      <c r="F1315" t="s">
        <v>3130</v>
      </c>
      <c r="G1315" s="2" t="s">
        <v>4445</v>
      </c>
      <c r="H1315">
        <v>7.91E-05</v>
      </c>
      <c r="I1315">
        <v>6.265E-05</v>
      </c>
      <c r="J1315">
        <v>0.00014175</v>
      </c>
    </row>
    <row r="1316" spans="1:10">
      <c r="A1316">
        <f>HYPERLINK("https://mega.nz/file/rIdCXRYQ#9zcbZUh2uVqXxMcR7js4UwwDDIOijG5zb2mX9Bo-CRo", "Master Keys of Life &amp; Death")</f>
        <v>0</v>
      </c>
      <c r="B1316" t="s">
        <v>468</v>
      </c>
      <c r="C1316" t="s">
        <v>1761</v>
      </c>
      <c r="D1316" t="s">
        <v>3095</v>
      </c>
      <c r="E1316" t="s">
        <v>3117</v>
      </c>
      <c r="F1316" t="s">
        <v>3131</v>
      </c>
      <c r="G1316" s="2" t="s">
        <v>4446</v>
      </c>
      <c r="H1316">
        <v>6.055E-05</v>
      </c>
      <c r="I1316">
        <v>4.235E-05</v>
      </c>
      <c r="J1316">
        <v>0.0001029</v>
      </c>
    </row>
    <row r="1317" spans="1:10">
      <c r="A1317">
        <f>HYPERLINK("https://mega.nz/file/HEcEhQhJ#Vy4X6xop_1sh5R0Prv9qLL6dW3yqzdRl3Zi3MkOOyVM", "Dioniso Mito y Culto")</f>
        <v>0</v>
      </c>
      <c r="B1317" t="s">
        <v>469</v>
      </c>
      <c r="C1317" t="s">
        <v>1762</v>
      </c>
      <c r="D1317" t="s">
        <v>3096</v>
      </c>
      <c r="E1317" t="s">
        <v>3117</v>
      </c>
      <c r="F1317" t="s">
        <v>3130</v>
      </c>
      <c r="G1317" s="2" t="s">
        <v>4447</v>
      </c>
      <c r="H1317">
        <v>6.334999999999999E-05</v>
      </c>
      <c r="I1317">
        <v>6.65E-05</v>
      </c>
      <c r="J1317">
        <v>0.00012985</v>
      </c>
    </row>
    <row r="1318" spans="1:10">
      <c r="A1318">
        <f>HYPERLINK("https://mega.nz/file/HFNTiD5Z#LSBbsbctYeKowAscASTeytMluBEyb2epPJI6cfri_tA", "El Camino a Eleusis Una solucion al enigma de los misterios")</f>
        <v>0</v>
      </c>
      <c r="B1318" t="s">
        <v>470</v>
      </c>
      <c r="C1318" t="s">
        <v>1763</v>
      </c>
      <c r="D1318" t="s">
        <v>3097</v>
      </c>
      <c r="E1318" t="s">
        <v>3117</v>
      </c>
      <c r="F1318" t="s">
        <v>3130</v>
      </c>
      <c r="G1318" s="2" t="s">
        <v>4448</v>
      </c>
      <c r="H1318">
        <v>7.875E-05</v>
      </c>
      <c r="I1318">
        <v>6.685E-05</v>
      </c>
      <c r="J1318">
        <v>0.0001456</v>
      </c>
    </row>
    <row r="1319" spans="1:10">
      <c r="A1319">
        <f>HYPERLINK("https://mega.nz/file/uQsyRBYT#U447Tk2AaeqIS_YU2tJ16fLtflm6h0yXlgx-uBlKZHc", "SEPHER YETZIRAH")</f>
        <v>0</v>
      </c>
      <c r="B1319" t="s">
        <v>471</v>
      </c>
      <c r="C1319" t="s">
        <v>1764</v>
      </c>
      <c r="D1319" t="s">
        <v>3098</v>
      </c>
      <c r="E1319" t="s">
        <v>3118</v>
      </c>
      <c r="F1319" t="s">
        <v>3131</v>
      </c>
      <c r="G1319" s="2" t="s">
        <v>4449</v>
      </c>
      <c r="H1319">
        <v>6.475E-05</v>
      </c>
      <c r="I1319">
        <v>6.195E-05</v>
      </c>
      <c r="J1319">
        <v>0.0001267</v>
      </c>
    </row>
    <row r="1320" spans="1:10">
      <c r="A1320">
        <f>HYPERLINK("https://mega.nz/file/jd0XzD4C#LhLKpTnC9lGsW1EjDgVaffJQcubVILz3m1z7ByAgmE0", "An Intro Study Kabalah")</f>
        <v>0</v>
      </c>
      <c r="B1320" t="s">
        <v>472</v>
      </c>
      <c r="C1320" t="s">
        <v>1765</v>
      </c>
      <c r="D1320" t="s">
        <v>3099</v>
      </c>
      <c r="E1320" t="s">
        <v>3117</v>
      </c>
      <c r="F1320" t="s">
        <v>3131</v>
      </c>
      <c r="G1320" s="2" t="s">
        <v>4450</v>
      </c>
      <c r="H1320">
        <v>5.95E-05</v>
      </c>
      <c r="I1320">
        <v>5.53E-05</v>
      </c>
      <c r="J1320">
        <v>0.0001148</v>
      </c>
    </row>
    <row r="1321" spans="1:10">
      <c r="A1321">
        <f>HYPERLINK("https://mega.nz/file/TJckXICJ#fwS2hCdhTO15WaJbCRMFH5zRwB6nTnTG4RY1fijK-ko", "Chaldean Oracles")</f>
        <v>0</v>
      </c>
      <c r="B1321" t="s">
        <v>472</v>
      </c>
      <c r="C1321" t="s">
        <v>592</v>
      </c>
      <c r="D1321" t="s">
        <v>3100</v>
      </c>
      <c r="E1321" t="s">
        <v>3117</v>
      </c>
      <c r="F1321" t="s">
        <v>3131</v>
      </c>
      <c r="G1321" s="2" t="s">
        <v>4451</v>
      </c>
      <c r="H1321">
        <v>5.915E-05</v>
      </c>
      <c r="I1321">
        <v>5.18E-05</v>
      </c>
      <c r="J1321">
        <v>0.00011095</v>
      </c>
    </row>
    <row r="1322" spans="1:10">
      <c r="A1322">
        <f>HYPERLINK("https://mega.nz/file/qZVHTLyL#oP1lFYQMcyVgyjLvULruHqd46OLCmzHGKbYj8govjdA", "Sepher Yetzirah")</f>
        <v>0</v>
      </c>
      <c r="B1322" t="s">
        <v>472</v>
      </c>
      <c r="C1322" t="s">
        <v>963</v>
      </c>
      <c r="D1322" t="s">
        <v>3101</v>
      </c>
      <c r="E1322" t="s">
        <v>3118</v>
      </c>
      <c r="F1322" t="s">
        <v>3131</v>
      </c>
      <c r="G1322" s="2" t="s">
        <v>4452</v>
      </c>
      <c r="H1322">
        <v>5.95E-05</v>
      </c>
      <c r="I1322">
        <v>5.25E-05</v>
      </c>
      <c r="J1322">
        <v>0.000112</v>
      </c>
    </row>
    <row r="1323" spans="1:10">
      <c r="A1323">
        <f>HYPERLINK("https://mega.nz/file/iJ0RVCzb#cClidTzrB4rdCQgsONR91S_Jdo20zvr1HpuIP-rLhTA", "El Enigma De Los Dinosaurios")</f>
        <v>0</v>
      </c>
      <c r="B1323" t="s">
        <v>473</v>
      </c>
      <c r="C1323" t="s">
        <v>1766</v>
      </c>
      <c r="D1323" t="s">
        <v>3102</v>
      </c>
      <c r="E1323" t="s">
        <v>3117</v>
      </c>
      <c r="F1323" t="s">
        <v>3130</v>
      </c>
      <c r="G1323" s="2" t="s">
        <v>4453</v>
      </c>
      <c r="H1323">
        <v>6.37E-05</v>
      </c>
      <c r="I1323">
        <v>6.3E-05</v>
      </c>
      <c r="J1323">
        <v>0.0001267</v>
      </c>
    </row>
    <row r="1324" spans="1:10">
      <c r="A1324">
        <f>HYPERLINK("https://mega.nz/file/WJc02K7I#_J4sTySjHTE_nQhyIA7wOY713UAaBjXKuX70KeWoJsM", "The Marriage of Heaven and Hell")</f>
        <v>0</v>
      </c>
      <c r="B1324" t="s">
        <v>474</v>
      </c>
      <c r="C1324" t="s">
        <v>1767</v>
      </c>
      <c r="D1324" t="s">
        <v>3103</v>
      </c>
      <c r="E1324" t="s">
        <v>3117</v>
      </c>
      <c r="F1324" t="s">
        <v>3131</v>
      </c>
      <c r="G1324" s="2" t="s">
        <v>4454</v>
      </c>
      <c r="H1324">
        <v>6.055E-05</v>
      </c>
      <c r="I1324">
        <v>5.075E-05</v>
      </c>
      <c r="J1324">
        <v>0.0001113</v>
      </c>
    </row>
    <row r="1325" spans="1:10">
      <c r="A1325">
        <f>HYPERLINK("https://mega.nz/file/bdFxxQ6I#N9xNN1x1tgfkF8zCjOgGZK9oE_2KCJl0wHMlkxTvpV4", "Beyond Grandeur")</f>
        <v>0</v>
      </c>
      <c r="B1325" t="s">
        <v>475</v>
      </c>
      <c r="C1325" t="s">
        <v>1768</v>
      </c>
      <c r="D1325" t="s">
        <v>3104</v>
      </c>
      <c r="E1325" t="s">
        <v>3117</v>
      </c>
      <c r="F1325" t="s">
        <v>3131</v>
      </c>
      <c r="G1325" s="2" t="s">
        <v>4455</v>
      </c>
      <c r="H1325">
        <v>5.845E-05</v>
      </c>
      <c r="I1325">
        <v>4.725E-05</v>
      </c>
      <c r="J1325">
        <v>0.0001057</v>
      </c>
    </row>
    <row r="1326" spans="1:10">
      <c r="A1326">
        <f>HYPERLINK("https://mega.nz/file/2Yd2ECQb#iWe-2aAfSKSZ0JZMJBGvartmj7skpcQ7uzRmB-hMVZk", "Introduction to the Srudy of the Kabalah")</f>
        <v>0</v>
      </c>
      <c r="B1326" t="s">
        <v>476</v>
      </c>
      <c r="C1326" t="s">
        <v>1769</v>
      </c>
      <c r="D1326" t="s">
        <v>3105</v>
      </c>
      <c r="E1326" t="s">
        <v>3117</v>
      </c>
      <c r="F1326" t="s">
        <v>3131</v>
      </c>
      <c r="G1326" s="2" t="s">
        <v>4456</v>
      </c>
      <c r="H1326">
        <v>6.58E-05</v>
      </c>
      <c r="I1326">
        <v>5.67E-05</v>
      </c>
      <c r="J1326">
        <v>0.0001225</v>
      </c>
    </row>
    <row r="1327" spans="1:10">
      <c r="A1327">
        <f>HYPERLINK("https://mega.nz/file/uRkwwZbT#BsiwhCCzByL8AgVmpp38Y7QTaJEEI2TzSod7Xwu-lik", "Numbers Their Occult Power and Mystic Virtues")</f>
        <v>0</v>
      </c>
      <c r="B1327" t="s">
        <v>476</v>
      </c>
      <c r="C1327" t="s">
        <v>1770</v>
      </c>
      <c r="D1327" t="s">
        <v>3106</v>
      </c>
      <c r="E1327" t="s">
        <v>3117</v>
      </c>
      <c r="F1327" t="s">
        <v>3131</v>
      </c>
      <c r="G1327" s="2" t="s">
        <v>4457</v>
      </c>
      <c r="H1327">
        <v>6.58E-05</v>
      </c>
      <c r="I1327">
        <v>5.04E-05</v>
      </c>
      <c r="J1327">
        <v>0.0001162</v>
      </c>
    </row>
    <row r="1328" spans="1:10">
      <c r="A1328">
        <f>HYPERLINK("https://mega.nz/file/PEFyFQCS#qH8oslwWxcGWIgzn8HzZa7_UXprzB97zXp1Cn2gWL7k", "Tractatus-Logico-Philosophicus")</f>
        <v>0</v>
      </c>
      <c r="B1328" t="s">
        <v>477</v>
      </c>
      <c r="C1328" t="s">
        <v>1771</v>
      </c>
      <c r="D1328" t="s">
        <v>3107</v>
      </c>
      <c r="E1328" t="s">
        <v>3117</v>
      </c>
      <c r="F1328" t="s">
        <v>3131</v>
      </c>
      <c r="G1328" s="2" t="s">
        <v>4458</v>
      </c>
      <c r="H1328">
        <v>6.439999999999999E-05</v>
      </c>
      <c r="I1328">
        <v>6.334999999999999E-05</v>
      </c>
      <c r="J1328">
        <v>0.00012775</v>
      </c>
    </row>
    <row r="1329" spans="1:10">
      <c r="A1329">
        <f>HYPERLINK("https://mega.nz/file/SM8i2RZT#Q2y9AeZzLX9dh0vppP8FVojvinY6xf4YoLZU1hsmOIo", "The Road to Valhalla")</f>
        <v>0</v>
      </c>
      <c r="B1329" t="s">
        <v>478</v>
      </c>
      <c r="C1329" t="s">
        <v>1772</v>
      </c>
      <c r="D1329" t="s">
        <v>3108</v>
      </c>
      <c r="E1329" t="s">
        <v>3117</v>
      </c>
      <c r="F1329" t="s">
        <v>3131</v>
      </c>
      <c r="G1329" s="2" t="s">
        <v>4459</v>
      </c>
      <c r="H1329">
        <v>5.95E-05</v>
      </c>
      <c r="I1329">
        <v>5.46E-05</v>
      </c>
      <c r="J1329">
        <v>0.0001141</v>
      </c>
    </row>
    <row r="1330" spans="1:10">
      <c r="A1330">
        <f>HYPERLINK("https://mega.nz/file/TEsUwKwK#D3UUiwsor-UFY2S4--ktOAsYf-seo1o_dt1miQHkR8k", "La tabla de Isis")</f>
        <v>0</v>
      </c>
      <c r="B1330" t="s">
        <v>479</v>
      </c>
      <c r="C1330" t="s">
        <v>1773</v>
      </c>
      <c r="D1330" t="s">
        <v>3109</v>
      </c>
      <c r="E1330" t="s">
        <v>3117</v>
      </c>
      <c r="F1330" t="s">
        <v>3130</v>
      </c>
      <c r="G1330" s="2" t="s">
        <v>4460</v>
      </c>
      <c r="H1330">
        <v>6.055E-05</v>
      </c>
      <c r="I1330">
        <v>5.775E-05</v>
      </c>
      <c r="J1330">
        <v>0.0001183</v>
      </c>
    </row>
    <row r="1331" spans="1:10">
      <c r="A1331">
        <f>HYPERLINK("https://mega.nz/file/HcdSgawa#ukf3fUxr-SBfDZrNEDm-Pnygb0yXSDtUsIX8KSKdtds", "Los numeros")</f>
        <v>0</v>
      </c>
      <c r="B1331" t="s">
        <v>479</v>
      </c>
      <c r="C1331" t="s">
        <v>1774</v>
      </c>
      <c r="D1331" t="s">
        <v>3110</v>
      </c>
      <c r="E1331" t="s">
        <v>3117</v>
      </c>
      <c r="F1331" t="s">
        <v>3130</v>
      </c>
      <c r="G1331" s="2" t="s">
        <v>4461</v>
      </c>
      <c r="H1331">
        <v>5.845E-05</v>
      </c>
      <c r="I1331">
        <v>6.055E-05</v>
      </c>
      <c r="J1331">
        <v>0.000119</v>
      </c>
    </row>
    <row r="1332" spans="1:10">
      <c r="A1332">
        <f>HYPERLINK("https://mega.nz/file/vFlykDIJ#Gm-7rGviv3s1MS5JJd8POMIIDImpbWzvJKOIEKHXsQ8", "The Eternal Word of Set")</f>
        <v>0</v>
      </c>
      <c r="B1332" t="s">
        <v>480</v>
      </c>
      <c r="C1332" t="s">
        <v>1775</v>
      </c>
      <c r="D1332" t="s">
        <v>3111</v>
      </c>
      <c r="E1332" t="s">
        <v>3117</v>
      </c>
      <c r="F1332" t="s">
        <v>3131</v>
      </c>
      <c r="G1332" s="2" t="s">
        <v>4462</v>
      </c>
      <c r="H1332">
        <v>5.95E-05</v>
      </c>
      <c r="I1332">
        <v>5.67E-05</v>
      </c>
      <c r="J1332">
        <v>0.0001162</v>
      </c>
    </row>
    <row r="1333" spans="1:10">
      <c r="A1333">
        <f>HYPERLINK("https://mega.nz/file/DNNlkIwK#CLKMetQCvgN_74eaibXzwat2-cpIf4k31fLzNkMUezE", "Science Of Breath")</f>
        <v>0</v>
      </c>
      <c r="B1333" t="s">
        <v>481</v>
      </c>
      <c r="C1333" t="s">
        <v>1776</v>
      </c>
      <c r="D1333" t="s">
        <v>3112</v>
      </c>
      <c r="E1333" t="s">
        <v>3117</v>
      </c>
      <c r="F1333" t="s">
        <v>3131</v>
      </c>
      <c r="G1333" s="2" t="s">
        <v>4463</v>
      </c>
      <c r="H1333">
        <v>6.055E-05</v>
      </c>
      <c r="I1333">
        <v>5.355E-05</v>
      </c>
      <c r="J1333">
        <v>0.0001141</v>
      </c>
    </row>
    <row r="1334" spans="1:10">
      <c r="A1334">
        <f>HYPERLINK("https://mega.nz/file/OAE0AZJD#DBl41Iu-b61rZwHKG8NknOYToVkH53LwRCBe-quK2T8", "El Final de los Tiempos")</f>
        <v>0</v>
      </c>
      <c r="B1334" t="s">
        <v>482</v>
      </c>
      <c r="C1334" t="s">
        <v>1777</v>
      </c>
      <c r="D1334" t="s">
        <v>3113</v>
      </c>
      <c r="E1334" t="s">
        <v>3117</v>
      </c>
      <c r="F1334" t="s">
        <v>3130</v>
      </c>
      <c r="G1334" s="2" t="s">
        <v>4464</v>
      </c>
      <c r="H1334">
        <v>6.755E-05</v>
      </c>
      <c r="I1334">
        <v>6.86E-05</v>
      </c>
      <c r="J1334">
        <v>0.00013615</v>
      </c>
    </row>
    <row r="1335" spans="1:10">
      <c r="A1335">
        <f>HYPERLINK("https://mega.nz/file/HdV2jYzD#vGeG-v_1w5XotP0PO89jhva4o8WGNUuwKpkT5ECprEw", "La Escalera Al Cielo")</f>
        <v>0</v>
      </c>
      <c r="B1335" t="s">
        <v>482</v>
      </c>
      <c r="C1335" t="s">
        <v>1778</v>
      </c>
      <c r="D1335" t="s">
        <v>3114</v>
      </c>
      <c r="E1335" t="s">
        <v>3117</v>
      </c>
      <c r="F1335" t="s">
        <v>3130</v>
      </c>
      <c r="G1335" s="2" t="s">
        <v>4465</v>
      </c>
      <c r="H1335">
        <v>6.545000000000001E-05</v>
      </c>
      <c r="I1335">
        <v>6.65E-05</v>
      </c>
      <c r="J1335">
        <v>0.00013195</v>
      </c>
    </row>
    <row r="1336" spans="1:10">
      <c r="A1336">
        <f>HYPERLINK("https://mega.nz/file/udsU3DwI#PvEyLDRYtW1d2cXGdo9I1MBJhRKtojTbc0j4xayjfNU", "Magia y secretos de la mujer mapuche")</f>
        <v>0</v>
      </c>
      <c r="B1336" t="s">
        <v>483</v>
      </c>
      <c r="C1336" t="s">
        <v>1779</v>
      </c>
      <c r="D1336" t="s">
        <v>3115</v>
      </c>
      <c r="E1336" t="s">
        <v>3117</v>
      </c>
      <c r="F1336" t="s">
        <v>3130</v>
      </c>
      <c r="G1336" s="2" t="s">
        <v>4466</v>
      </c>
      <c r="H1336">
        <v>6.439999999999999E-05</v>
      </c>
      <c r="I1336">
        <v>5.565E-05</v>
      </c>
      <c r="J1336">
        <v>0.00012005</v>
      </c>
    </row>
    <row r="1337" spans="1:10">
      <c r="A1337">
        <f>HYPERLINK("https://mega.nz/file/mVEjgarQ#hgRs_11JFafsMTeEWJpb96QdTfTbeCcO9up2iJ_gqVk", "Los misticos de Occidente II")</f>
        <v>0</v>
      </c>
      <c r="B1337" t="s">
        <v>484</v>
      </c>
      <c r="C1337" t="s">
        <v>1780</v>
      </c>
      <c r="D1337" t="s">
        <v>3116</v>
      </c>
      <c r="E1337" t="s">
        <v>3117</v>
      </c>
      <c r="F1337" t="s">
        <v>3130</v>
      </c>
      <c r="G1337" s="2" t="s">
        <v>4467</v>
      </c>
      <c r="H1337">
        <v>6.719999999999999E-05</v>
      </c>
      <c r="I1337">
        <v>6.3E-05</v>
      </c>
      <c r="J1337">
        <v>0.0001302</v>
      </c>
    </row>
  </sheetData>
  <hyperlinks>
    <hyperlink ref="G2" r:id="rId1" location="aBO3R2C8VOuQ5R0J8ISI_opN8YJyvJO8xMQlhdHJpG4"/>
    <hyperlink ref="G3" r:id="rId2" location="zjqWdRU25xMsorpaKJNlovpxauOfNGs8gOzOK9wh-PM"/>
    <hyperlink ref="G4" r:id="rId3" location="1bN6TxEacVFX5GPbJ14XclkPz_DzCFM6z9uXHvfDSXU"/>
    <hyperlink ref="G5" r:id="rId4" location="OnD0Rv6pGzN-VWYHFGh6koKP_q_AXIhcsCrQrXiseZc"/>
    <hyperlink ref="G6" r:id="rId5" location="LzdVS9g9H0W01TayQtZILqOUHUvfzCQfAMBNbKQUA9o"/>
    <hyperlink ref="G7" r:id="rId6" location="BN4pyU1SJPj5HgOzCJLC_Mfvt3Y3aN4G7TCEjIgr-e4"/>
    <hyperlink ref="G8" r:id="rId7" location="gjv5ZoDxeF9duLQ00BgqgtJ76cNHnYDMSwvuop354lg"/>
    <hyperlink ref="G9" r:id="rId8" location="9hjGVHusaNKTA3dWcxb-U7RWfysKpfFGctBC1xNTmtk"/>
    <hyperlink ref="G10" r:id="rId9" location="GZpljOJ_2doJEC01z3iJSGqZ2JZ6JxnJlSI7ugX-AvA"/>
    <hyperlink ref="G11" r:id="rId10" location="ab3cXG46Rqo6xSZm5hzwE-Z6I-NqBH9ubim0GEIa5Nw"/>
    <hyperlink ref="G12" r:id="rId11" location="K6ghj5DnwM0zp3YyhT9JKP6eQwFR6ed-8X7itmQPkXM"/>
    <hyperlink ref="G13" r:id="rId12" location="iNy_nVaHpHx-1K3zutisKAS8cUAgweib-T9GPAztRx4"/>
    <hyperlink ref="G14" r:id="rId13" location="OvTI1JfYUT4lu4ksB5gCbMr7hz939uGSFBw5bEZyuis"/>
    <hyperlink ref="G15" r:id="rId14" location="WT0dJUlSiNo6TdwZpwd6rRjmSu9894U5ZlA1dujrZZ8"/>
    <hyperlink ref="G16" r:id="rId15" location="GLaeu7Lw13cdjuJiI1h-lX15zq2OLsN5uE7v4q08068"/>
    <hyperlink ref="G17" r:id="rId16" location="nG0_dTK_-IUZ12yWbaUaDA70btcXjWOS1vN_huQeO2A"/>
    <hyperlink ref="G18" r:id="rId17" location="WZACpGlAF3CDi74Pr7EhkDcWywEYM0yEGOrNUy8Khh8"/>
    <hyperlink ref="G19" r:id="rId18" location="Vxc63LYDnOAUBcWBiXhy8_w3NRW9ulnStECHWq3LwF8"/>
    <hyperlink ref="G20" r:id="rId19" location="k7uyBDrnaKn0xB9dYS11WnGdlNGcog0ba9CvqgBqt98"/>
    <hyperlink ref="G21" r:id="rId20" location="F9Ki_Lspa7__zDiY4hs8VfirwJ0vhwnts1aDW1RpuBY"/>
    <hyperlink ref="G22" r:id="rId21" location="hKPbF3Kfl0qBd_2HCWoqY_z8hRcb5gKwr3FNeBNoFQY"/>
    <hyperlink ref="G23" r:id="rId22" location="9mQeF9YY0zOHA1ycFm7r8tw677nEjcGxT-1pIKj4qQ4"/>
    <hyperlink ref="G24" r:id="rId23" location="-0QM-agnYtBu2ftAuo7VuJgG57YwEZOhKfy2WmIhnw0"/>
    <hyperlink ref="G25" r:id="rId24" location="0LOEnkznso1OUcsfEpJK1Ez8U93YXvSzUIsDGoKKE98"/>
    <hyperlink ref="G26" r:id="rId25" location="VGmJfAspREDiqXutDPpbEo-Sjm0Bi8sPBxob2GKGXHU"/>
    <hyperlink ref="G27" r:id="rId26" location="8Auvfe9GM-PG6x-g-qRYc3Dc1-tPwuGTvxBXWyPUFrY"/>
    <hyperlink ref="G28" r:id="rId27" location="LE1WxOtRQTfNWw9961ESE3x1JCQQKfuTkC78tqaPtt0"/>
    <hyperlink ref="G29" r:id="rId28" location="ZrmYYuBuI6ZXNNakEeYWAnAL4qv8Y3ZZTmUPdPFn8I4"/>
    <hyperlink ref="G30" r:id="rId29" location="Y1q4_MsayDYkXFZWyqhGf-Q5WAL8HDBqxHqIBWKhKo0"/>
    <hyperlink ref="G31" r:id="rId30" location="GtU05T-LqQwBei0Ra2XS3hecXIU6Ciq0uur2FUS1a-s"/>
    <hyperlink ref="G32" r:id="rId31" location="X2qiKbwjuHx52eoFw-bAzEQipUh1Wg7arpceDyoaYQc"/>
    <hyperlink ref="G33" r:id="rId32" location="uxB5ht9qoC8MzRS1yibqKKazuab5PD2Hft9RX_LGrEE"/>
    <hyperlink ref="G34" r:id="rId33" location="URVDKfu0xBg8pBYctvnOBuKJJ37kO7SC6te17szss64"/>
    <hyperlink ref="G35" r:id="rId34" location="APcVI9lbMMUasR6f46rK-QUyVUimyEou7U_YA_iWqYg"/>
    <hyperlink ref="G36" r:id="rId35" location="EHfWSC8UwCgdMP-yTB8VoVRPUB_dx0FxkF1HRUXssOU"/>
    <hyperlink ref="G37" r:id="rId36" location="2Gg6HQpsv_MwDD0YtyPkRH7A-pJDLjifknezZbZqJzo"/>
    <hyperlink ref="G38" r:id="rId37" location="LV1fA_9JWjXll_cUCWoLOVSuYcV0CZwbh0wQsiRpKKU"/>
    <hyperlink ref="G39" r:id="rId38" location="bYYrZ1tlurtxFLURJpjkGDhlrdbFJ0ZfbowRagdFyL8"/>
    <hyperlink ref="G40" r:id="rId39" location="RJOAAojUfXD5hyODpOsPc6yWEgHXvi0KMHBZpPod_zs"/>
    <hyperlink ref="G41" r:id="rId40" location="Tx_ololsSohsK4wmjlHsoU792ttvBmP1KOiZTinU98k"/>
    <hyperlink ref="G42" r:id="rId41" location="tCspWbo66_eV2mP8z2z4RMiEqsp3QGE7P6DJmrwjS4E"/>
    <hyperlink ref="G43" r:id="rId42" location="HxjBsjl9IkdIwnGQalszGO1qNIDRMvCnnolEHYRLqKQ"/>
    <hyperlink ref="G44" r:id="rId43" location="SqzvpfmvmAV81ULVdpq-0k-t6OOjlPYtbnHh702FZkU"/>
    <hyperlink ref="G45" r:id="rId44" location="hRlOt7MTID-XmDoNGolgBpYPw2z98FDiqCbVRtbGYiQ"/>
    <hyperlink ref="G46" r:id="rId45" location="CSzchubM8m6IRpbG1Lbhna630V09NO1gZjPYhY0L_Qs"/>
    <hyperlink ref="G47" r:id="rId46" location="t1iI88Li32PjysCuPu61SJnJO-XDSrFs8qmduIBYq0E"/>
    <hyperlink ref="G48" r:id="rId47" location="KPekJKrPgkzbD-RHw8lcEWA4tQGdlpt-BQ8mSItx3Vs"/>
    <hyperlink ref="G49" r:id="rId48" location="ztgJAmlNR02PtulxaTS4iMEfSmwFHoqHWWLDvTYdcys"/>
    <hyperlink ref="G50" r:id="rId49" location="f9Y7PyHuWHeBDZnNHtHXx2bySNPFeL2JgzetfhD6Xpw"/>
    <hyperlink ref="G51" r:id="rId50" location="-9YBYEaf2x8FMe2sdnvj-qDSeNiWZ5H9XQ-zL87-ddc"/>
    <hyperlink ref="G52" r:id="rId51" location="jakzNdMbGzpJokTXxZ6aYIc9DbtUfUVddSWcJRddPMs"/>
    <hyperlink ref="G53" r:id="rId52" location="S_zB1sVePLQZ_lOEiZ1-EW0FC1crp02XgvIAKd6RTXs"/>
    <hyperlink ref="G54" r:id="rId53" location="RaRq2RDNvOfpQMgH32UYGUy5NIFlkgdNi5wqIqvmERc"/>
    <hyperlink ref="G55" r:id="rId54" location="Ox4-vElkO7B1aFOgUE2-IDmamWwNgoeJdtRrSp-j120"/>
    <hyperlink ref="G56" r:id="rId55" location="4GnkYA3p7FAXK0GjSOnXc3gLik-9R6TPjS0n0ldmpTQ"/>
    <hyperlink ref="G57" r:id="rId56" location="RKr4RsehjRDsUB27ivuJIetz638pnMcSZQWqv1HQygc"/>
    <hyperlink ref="G58" r:id="rId57" location="8BF2n7GkjE4om6XbfyaaLzxmmU7cVh3HyycfIR3JC50"/>
    <hyperlink ref="G59" r:id="rId58" location="Ckz6N1oS9vhq6uNWpNTK-79kFFSRI1SDNDbDPmqiGmw"/>
    <hyperlink ref="G60" r:id="rId59" location="bvOomeoxWN1fo8a3GBorBkM6jxD4q-NMzytvxJw-LiI"/>
    <hyperlink ref="G61" r:id="rId60" location="q4WHCqKpyBRQs4AB8IGM6QxvGRJgDOLG3MgXzbryYWQ"/>
    <hyperlink ref="G62" r:id="rId61" location="q-hmP5_Oej5evBrjD98Miai3xpYGhUiOD1i5WR8sptU"/>
    <hyperlink ref="G63" r:id="rId62" location="dLJL3XyndP1xT0Jjvsyisn4nOopDwagxOQ7yLUYTyA4"/>
    <hyperlink ref="G64" r:id="rId63" location="idPvwW4gHsHs2qOHr8oSGnOMR_KFO5RvMW0TlHxbdP0"/>
    <hyperlink ref="G65" r:id="rId64" location="oQaZVw9Cxbh-sL9JK1pzB8DN4Dp8NN90ZNP6QsAEnuY"/>
    <hyperlink ref="G66" r:id="rId65" location="8xAdI8ZQO_nG6jJEGHBkO_2pb3fc5g6gwYPZuYu8O_4"/>
    <hyperlink ref="G67" r:id="rId66" location="d6jOjB6ExAUIs9WkrUg7OoeN2vTh_pHaW5czTlZc9Pk"/>
    <hyperlink ref="G68" r:id="rId67" location="rSdRjrzuq_2bzmTxpFp0paXxo9WS4KKQ5eqNhWoMCMA"/>
    <hyperlink ref="G69" r:id="rId68" location="Aur5FTzdx4s0acou1yoQkJ3hOQYAIbCJLt9qwjE8EfU"/>
    <hyperlink ref="G70" r:id="rId69" location="xBLtkRHYG1qxA6CjNKSVfpe4db4MZYuO3w0lf8LyRRI"/>
    <hyperlink ref="G71" r:id="rId70" location="vNDy2bngSxkF28orL0kVOITPjkwEuDWCEdInN4AjA7k"/>
    <hyperlink ref="G72" r:id="rId71" location="9V9-PUII4G2EhBEY4tRxCf6TU63gwjPQet1v7Xhloe0"/>
    <hyperlink ref="G73" r:id="rId72" location="P_WAfW5ruGSnRv3sUMxajbgRTwXivogsC_yHM4-VfAg"/>
    <hyperlink ref="G74" r:id="rId73" location="XxKv7UgmlQsIjdpWFBTp3K1DAms_CX4yInbXHXCQ2CU"/>
    <hyperlink ref="G75" r:id="rId74" location="XVs-Kyq9uwDKW1e-1o2YPfrT-iDmeEGIiG9PfemO9Iw"/>
    <hyperlink ref="G76" r:id="rId75" location="xD7dpUl1hBGR-7sLCkaYRyJHvgrkkdH5j4gcUrKUqKA"/>
    <hyperlink ref="G77" r:id="rId76" location="Ib56aWGcULbtZfoeat32OwTFVESHeDUzy3BFbZfU1EE"/>
    <hyperlink ref="G78" r:id="rId77" location="ZPcz8m00wx1iwOeLTJRkEHyXFL6BpJKNrssZoHnUrvA"/>
    <hyperlink ref="G79" r:id="rId78" location="gFZ2XIL5y59vgWHM11MogMTIHahGjCJRmcK-X_I_fuo"/>
    <hyperlink ref="G80" r:id="rId79" location="GlwmWmhR8VtCKEDmGrDo6Cq-C4XNK5gFIzHLKJq4RjI"/>
    <hyperlink ref="G81" r:id="rId80" location="LJSBvCwA6m52Alei82XUbO1fOvEwHQdfi4bZtqwvOuw"/>
    <hyperlink ref="G82" r:id="rId81" location="A8QFDSVGslETxMm72vrIjzShGX3buLB8XShs_-iDqMk"/>
    <hyperlink ref="G83" r:id="rId82" location="ntvrFNEg6HZfmmQNC8Q1ME7GZk9SSsjrwWLjw8QDoMA"/>
    <hyperlink ref="G84" r:id="rId83" location="_s8JxXnLpeTp6KdSoqzlrZUkc7PFRczU8Q_R1QHaUUc"/>
    <hyperlink ref="G85" r:id="rId84" location="PryXuU7H3EQKQ46On5dIN0_1rOuN2R0PHZWDLjNyHWg"/>
    <hyperlink ref="G86" r:id="rId85" location="nKzHdP1Ytb75tD03Ka9NqFeVAYhsSsLqDnLSE3WtZdk"/>
    <hyperlink ref="G87" r:id="rId86" location="tXXioNpE86qIN1dlHa0YZOJT9xWW_42XOSri9y7cESU"/>
    <hyperlink ref="G88" r:id="rId87" location="GZd_zQrAGN73Vo91taKoWgnerc_dsvxuGf7mhdBdjIc"/>
    <hyperlink ref="G89" r:id="rId88" location="QTRYOL2Yxs1m1vHIFy0JMIWed-0bHhWgW_UAdEJtdvc"/>
    <hyperlink ref="G90" r:id="rId89" location="hh8X4tQAlReymHkxdur8rpVRSaK2M-AS9BseuE6pNbc"/>
    <hyperlink ref="G91" r:id="rId90" location="mIPaSMKZWYeb2MYzjkRD3cpDpNKuBxHAkTtPuTbzNCk"/>
    <hyperlink ref="G92" r:id="rId91" location="l1y2H1CYVQo96QgGfgqNPhQMK1E_S3BItk-UofPL4fg"/>
    <hyperlink ref="G93" r:id="rId92" location="ZfGm_xLEcglGvNrTatIxfAT4XpJDZ7zHxLpIMyayIHA"/>
    <hyperlink ref="G94" r:id="rId93" location="h5Fb6YK5-gZ1fARdV4CehVTNMNvXdFUVxhF6C3Ny4uw"/>
    <hyperlink ref="G95" r:id="rId94" location="Z-PX-75WJWurznOlmA4FMf_c-qLrGHxUmOIICM2txrs"/>
    <hyperlink ref="G96" r:id="rId95" location="jLshSfi1Wha4h2AdOQKdlbMrDS7iOEcWOto9Rt99osU"/>
    <hyperlink ref="G97" r:id="rId96" location="CzNTSaceebtQmvJ8qbumD62WTL5EH3UedpxS40l-J3g"/>
    <hyperlink ref="G98" r:id="rId97" location="24ZG2pjtcyVkK6KOWs5t2FwocUcwM--dP0PNDQlDCaA"/>
    <hyperlink ref="G99" r:id="rId98" location="a_g_7PKAHkGcJlB1EbzABusS8ouWRT63VR-ukwbp-uM"/>
    <hyperlink ref="G100" r:id="rId99" location="VfSk4Cyhd1H3Y4osLU27wn3uisnNgQkQKxc1U70yLW0"/>
    <hyperlink ref="G101" r:id="rId100" location="a9jOMSRVGGvILvRq786TAciEbdmIpH9KKQSuTA0KdQs"/>
    <hyperlink ref="G102" r:id="rId101" location="lp5-vus_TKY1kb6-292OxJ9WuFKfWuoCv4IR6OTs8Mc"/>
    <hyperlink ref="G103" r:id="rId102" location="zDmhTgQp6vytoBPZ5k2uRVvvWgG5Znps0KoV3SyRWf8"/>
    <hyperlink ref="G104" r:id="rId103" location="gDY1Sonsg_R8Ten6McT0dn9EoPMxka2iy18pQJguiPw"/>
    <hyperlink ref="G105" r:id="rId104" location="oE8aVbu3lPN1OQ19hUu3k6KRL9GWXZ9DaNhGDx_KEBw"/>
    <hyperlink ref="G106" r:id="rId105" location="nSor8LxPYFnavn1aRy0mpSDnq3IS81pz4DvBzElWB2g"/>
    <hyperlink ref="G107" r:id="rId106" location="WMoZ2lbW244CNEC6vJoIt8qMUUWzbgrTBtATxEa0fyE"/>
    <hyperlink ref="G108" r:id="rId107" location="QZDlP5pZBxp3nm302tDsliVvZVQ37tiqXqTfHgzeAts"/>
    <hyperlink ref="G109" r:id="rId108" location="D9cfnQnk7Q4EXRE_t6d5Tbk4GnRzDwR-lJCLtfGR484"/>
    <hyperlink ref="G110" r:id="rId109" location="tgdIwyXaeNe2dRnn7brqSmPL3HZ3n6D1XGQL8nER0Xs"/>
    <hyperlink ref="G111" r:id="rId110" location="dLH_2Si78bIWtsbj3_sMmWcVpETO7OiWG0lyOsopdhw"/>
    <hyperlink ref="G112" r:id="rId111" location="9W7Zq9cRt_VJCuA8JN-H-2loeadXifuuRKqcclBD0rM"/>
    <hyperlink ref="G113" r:id="rId112" location="PFQdIySZgxIjqCrd37nFAx1QC2nhW-b74LA8Uu8Pevg"/>
    <hyperlink ref="G114" r:id="rId113" location="0VHiJcgTqiUOhm9woMhKK07Z5LT_cZwV5GKkEkCnb6M"/>
    <hyperlink ref="G115" r:id="rId114" location="5CRsh4jf2Pjz1QGaXddpM3HRzrtepzCa0jEfaGKdoz8"/>
    <hyperlink ref="G116" r:id="rId115" location="oirFupoj5GORHE72FcsmP_8T7RZ4O-S6z5OlATOVutY"/>
    <hyperlink ref="G117" r:id="rId116" location="YBnfujGtNAXWv6HeycGk1lpBLr5VsoAIdmwaa87LMng"/>
    <hyperlink ref="G118" r:id="rId117" location="cugR-cJMc_AzwZ3Ma5uZOtGa2TFzuxN5aye04qz_-Qk"/>
    <hyperlink ref="G119" r:id="rId118" location="e7SiTuimBOAUjXXoyqpID2nKSOBctKPKPJUrkFIgAOs"/>
    <hyperlink ref="G120" r:id="rId119" location="4nalP9rWgZyDp_DFDLzT5TJsfGquXcj1NDPAwYgfRqA"/>
    <hyperlink ref="G121" r:id="rId120" location="Z79gVU_DdSJue5vy5E-iyKDhQthRT-_cvvKToP4qvcI"/>
    <hyperlink ref="G122" r:id="rId121" location="INmRDRQS-9jchXs1IsyIoysg-iTcS2qKNvEQeGNFyag"/>
    <hyperlink ref="G123" r:id="rId122" location="ds1_IjIOehrc7GUraJcIkj3KaGKHZ2kAhUP1XZGkhgM"/>
    <hyperlink ref="G124" r:id="rId123" location="Gwcs7DLB2TiFcnO0UMidLZIwWiQ7-4WQVXcc4bfG0gM"/>
    <hyperlink ref="G125" r:id="rId124" location="TqmaocfvyJMu2_cufqD90va-ERqzRSlpJHPmIcaQIQc"/>
    <hyperlink ref="G126" r:id="rId125" location="Slk-KZIK4XBsdgvdvmzsGoZXwvZCSr3Udl7ojyETZaE"/>
    <hyperlink ref="G127" r:id="rId126" location="MGZO0KVFRceZggn9CHhKlje6k4ok2UAEWVIkHwNTbRk"/>
    <hyperlink ref="G128" r:id="rId127" location="03eZ9Jw7nvz8qzruQPKd6g8dxCbom18JkgUMpCIO_WI"/>
    <hyperlink ref="G129" r:id="rId128" location="22F8Ib0e5uQKcv2M_fBOcuwP0U7WFLzLcwQDgqGyGGc"/>
    <hyperlink ref="G130" r:id="rId129" location="D064BQmVs__hfYSTJJPCxpWFe_txTxq3pkPg4hI5h6o"/>
    <hyperlink ref="G131" r:id="rId130" location="NCn4ess8hWl2k3h69evY7hGhayo1--HhQh1_Ahc9VcM"/>
    <hyperlink ref="G132" r:id="rId131" location="vLziYyahYPlMhBdjfxgegep-WdyqQizIUmwGLM9l9xQ"/>
    <hyperlink ref="G133" r:id="rId132" location="lQCAjZGYRc6EsV6-E3jgjTQcCCyy8OH-N5fxtcEJqtw"/>
    <hyperlink ref="G134" r:id="rId133" location="yoBhQ-XYrhIm_VKrLYm-lURx7iNCxE4lVfW0Jhnymx0"/>
    <hyperlink ref="G135" r:id="rId134" location="20os9l6JHw6267LrAYDjc1QSXTWoHvZeXliwdvEGIm4"/>
    <hyperlink ref="G136" r:id="rId135" location="-qxF3icyWHasViOdaTaNXMMOBm0rnq4asa-hzeGv-nI"/>
    <hyperlink ref="G137" r:id="rId136" location="EqolglFDwu_Ua01zK0c56iOUB63kjfHU5P-BEC9sNao"/>
    <hyperlink ref="G138" r:id="rId137" location="v5JR-jlJPg1ZjkLNQG_yDc6E8edg9HGdBWqzixEdjY4"/>
    <hyperlink ref="G139" r:id="rId138" location="sShMwjvxxC6r4jA8243MKB39zfnFNgarjvRrcLzDMfM"/>
    <hyperlink ref="G140" r:id="rId139" location="GGNIG6KVTz5SLxLfQMPl_053W0U1xRwWgl_KE3RGPXM"/>
    <hyperlink ref="G141" r:id="rId140" location="b9-vdvLpqDFgo3bzKu_V0ODGtg81UKr6rpIXvuKUQUU"/>
    <hyperlink ref="G142" r:id="rId141" location="LPiAliTYv4wNuO430yhktjGoQI-PHTwVLGTnVu98M8M"/>
    <hyperlink ref="G143" r:id="rId142" location="z49f1ZxBNtfkI05c1NR7SuSEt5Mw0M4t_qujR3EPTME"/>
    <hyperlink ref="G144" r:id="rId143" location="z6aoQNlK2nSMJGmbuZ1NpdBwTLag1HUtlTlTz9q5nhc"/>
    <hyperlink ref="G145" r:id="rId144" location="eE_DAsW1v_n8pocVIMm0iTbemVEMGlfqQbvjT-GAqGk"/>
    <hyperlink ref="G146" r:id="rId145" location="XHTuwMH-K_nYiSE_Nz41LuiKlJEYvgyND4hxEqnOjxU"/>
    <hyperlink ref="G147" r:id="rId146" location="laUjjywD2eCj3YqqcQ85NDRbZvqi1Py2v4WHoSNPpPk"/>
    <hyperlink ref="G148" r:id="rId147" location="LkE0iurmopQ7mv8IMfhdt5wojFlZ0XQDKqoCJ2eLBVc"/>
    <hyperlink ref="G149" r:id="rId148" location="Qs7UKSRabSvTaecixQsTW_Vlrjki6h-4T4lD2pufKws"/>
    <hyperlink ref="G150" r:id="rId149" location="m_oSFkuokXBeHyvAOubeZcRlqw8jzyQoM-z1ukYRIYM"/>
    <hyperlink ref="G151" r:id="rId150" location="y28m6_rex5WOobRXIpKrT5uR-tZ9QCsNg3sk5LweNE8"/>
    <hyperlink ref="G152" r:id="rId151" location="Wpf2RBW0V1xyyzm0PbFSBvycfcnbOgbWh8Mx67d-Pn4"/>
    <hyperlink ref="G153" r:id="rId152" location="RjEZDfYIhLH4xGTW8Zf7qPOF-YXYUvxKaP3mkBZo74A"/>
    <hyperlink ref="G154" r:id="rId153" location="WKxUXaKN8AGm77LyfaX3XklksouIf8YopYD8fc-tMiE"/>
    <hyperlink ref="G155" r:id="rId154" location="FoNTJHghjt921skpBbCPdIJ6EuVyh5IIV6BWr9ct_sM"/>
    <hyperlink ref="G156" r:id="rId155" location="Jm58eb0SamQwuGQaXQAA_enpIlLryAFnH9BGoFa2B34"/>
    <hyperlink ref="G157" r:id="rId156" location="61mvEUviyix3jnZ1nbxXEUWtWn6eN2lL12mzlZ0qZvE"/>
    <hyperlink ref="G158" r:id="rId157" location="9oiS8OMBE2wBxwNJVYXC7YmgfOyNsGQFo4LLkPO4ewc"/>
    <hyperlink ref="G159" r:id="rId158" location="tC5R1GPFGGBMC_VTkj_J1kQGXcZMwmViMXvons_BMGU"/>
    <hyperlink ref="G160" r:id="rId159" location="MItOTZup-r-2RiByoQ4ZI8jYCy1Rh54N-3MLvUt7d3E"/>
    <hyperlink ref="G161" r:id="rId160" location="-Kj-GMvLhEF4xzFcgWF3rIyFr9hD0ly2old92--3RDk"/>
    <hyperlink ref="G162" r:id="rId161" location="B8F6-J-qpmMWSYvwcRqvyxtOljq3K4mjRHwjRRZyGN4"/>
    <hyperlink ref="G163" r:id="rId162" location="jz7mSSzFblKtKw_zA5jyFoyjehu9P5qUq-QAVDwyqo8"/>
    <hyperlink ref="G164" r:id="rId163" location="ASmBos6B8-NBO0VECQ-B5S3yg5Yyz_9rQ7F6uvjOHTE"/>
    <hyperlink ref="G165" r:id="rId164" location="k3Jkl-KUE-tLAwJeZySqd8jiuhhELNBUiSYqC28xbRY"/>
    <hyperlink ref="G166" r:id="rId165" location="6kHK1Geu06jMbyT7-r4tvKNIoFKyUqqHSzbuvDobYm0"/>
    <hyperlink ref="G167" r:id="rId166" location="_r0J85XTaOFAaerer2Edv2qtRokLN3Tl5MWUflHC2l4"/>
    <hyperlink ref="G168" r:id="rId167" location="p6xqg7Rx1SvnDG9tVsCSJFW0KeZjJ9uwryUpo9dW_LQ"/>
    <hyperlink ref="G169" r:id="rId168" location="mGTvtM_hgW7VYiNNrBytBmc1hYBfpVFckM2q5DvZtuQ"/>
    <hyperlink ref="G170" r:id="rId169" location="1_uXxM8cJqkatM92g1Udk8vSFrVlVQntrhSxQ_8zGrA"/>
    <hyperlink ref="G171" r:id="rId170" location="Ma-fNfheJikUKRlnQ6bbY1CJegJ_DAdz98s4wRvZ6iw"/>
    <hyperlink ref="G172" r:id="rId171" location="hlgySsIGTZYhYP2WLDK3JuXH8p5Vyg275OsEQoxHTZQ"/>
    <hyperlink ref="G173" r:id="rId172" location="WonHy4eUqa9IjoYC3t9nWlV7I59yYbweDZFDXFD4wms"/>
    <hyperlink ref="G174" r:id="rId173" location="sLoUNWForGyTnPn8_fCbszq1e3_KKhVlFlwvxb3ufCw"/>
    <hyperlink ref="G175" r:id="rId174" location="SMt652D8MkvZLGJwouvc-gawF0uHC3Ca9VmQp4nqVBc"/>
    <hyperlink ref="G176" r:id="rId175" location="jUre0-R6rFgJazYxYPRIyUj5t-ojn9qvoSYj2iW2GnI"/>
    <hyperlink ref="G177" r:id="rId176" location="5Tmf3K4JdbyH-sG5qHzbObeVhHu213133aMCMjgFTxM"/>
    <hyperlink ref="G178" r:id="rId177" location="I3m3I8coevpnmx-t2imXfO7KKmYdkVRFoD9O4wCdi30"/>
    <hyperlink ref="G179" r:id="rId178" location="zfEgJa-f2squ1WLsc7oYC4dxal4HVRgkaYLumH_3xBY"/>
    <hyperlink ref="G180" r:id="rId179" location="OB5aTGEefbI0HjhAbZg6oMnuzsZ4T1opZpO5AC8twNs"/>
    <hyperlink ref="G181" r:id="rId180" location="3DtihheGJHeZnqyeOjS371ATYCM8SpN2I2UQMyICa_s"/>
    <hyperlink ref="G182" r:id="rId181" location="rar6e0lV6uf5afXg-gIw6R3hypLMi_yzTPEU-LNv8M0"/>
    <hyperlink ref="G183" r:id="rId182" location="meqqd-5xn3ceiJDR0la50MGxZz7DSxTcLz79abL-JQk"/>
    <hyperlink ref="G184" r:id="rId183" location="zJZAsWAVDkb51DS7yD-3j95cSgeVbblV64GOYtNEDYs"/>
    <hyperlink ref="G185" r:id="rId184" location="E8lry3gko-MGXouM2VIX44iVDYx2LRk6WLC1CVJf2bg"/>
    <hyperlink ref="G186" r:id="rId185" location="d6sg0kg0XVrMgSJ-few5FhfFGQR8lZDO8G7YifMROgQ"/>
    <hyperlink ref="G187" r:id="rId186" location="5mmQY-iwKWNZ8568IR7TIGTaAbmL0qVd9m_IhKkUKOw"/>
    <hyperlink ref="G188" r:id="rId187" location="5VtuuKoMuQgpsF-m4-dR15aCVtRYLxZ6UulKZwNa_CM"/>
    <hyperlink ref="G189" r:id="rId188" location="acVDBjLwNUZ20S49RJ919lpZxsnAtySvFkgFI3gGbgY"/>
    <hyperlink ref="G190" r:id="rId189" location="BvcGz8SzWl16Vm2e-WHGvM0p6dzkOR3-CE16gf1GDO0"/>
    <hyperlink ref="G191" r:id="rId190" location="Y-Zuwtd5fvbiJYafAEpjzIfFK1lQEMRHClPIzahE1Fk"/>
    <hyperlink ref="G192" r:id="rId191" location="jpe9tJIJGDIQZi9cXmrOHA_34799NjkJAjYCRljGQLY"/>
    <hyperlink ref="G193" r:id="rId192" location="xz2sSELwhX1zXtC_BZfwGGJE2IYRvE23EoLiZWQwRQU"/>
    <hyperlink ref="G194" r:id="rId193" location="WrMuA90CbByLxazodQfJfmAduMtExbyzYdOZ9ZPp7xg"/>
    <hyperlink ref="G195" r:id="rId194" location="dTuuxIT4gOqO_TZX3kA8Crw7JJgKXdlst6uvLtmBejc"/>
    <hyperlink ref="G196" r:id="rId195" location="9okpfb3FM7YQjDJkZmHLZP-2AcTe6gyVGIrs5bsgMV4"/>
    <hyperlink ref="G197" r:id="rId196" location="669ffQg6tT-22dEzfjQ82W1Mzdx27UE0Ak0eT6yAxNw"/>
    <hyperlink ref="G198" r:id="rId197" location="eer3dBh-Rvi1K5eTyZOl_c0rH-qw7M7-5k1aj3r1gA8"/>
    <hyperlink ref="G199" r:id="rId198" location="b2DOupqDHulju7CHRRos71cuak8qHHTtJwNKNJHOHnY"/>
    <hyperlink ref="G200" r:id="rId199" location="kxQX0PkjPldWzT2rP9Z4-pkNg9Z2O0gl9wCJ5ij63uA"/>
    <hyperlink ref="G201" r:id="rId200" location="4gw-g-69zkNN5IFxWdr_qTo6OW43A9L-S1xE7pqAxww"/>
    <hyperlink ref="G202" r:id="rId201" location="S2kaQ8WwAFXPtQJVXPW4QOQv1QnnZYF0WaEOBZJi1NY"/>
    <hyperlink ref="G203" r:id="rId202" location="bdQNFRzcr8jqtayFpybaHvKog0mco23mXzUgjlVrNA4"/>
    <hyperlink ref="G204" r:id="rId203" location="zBU5n3yXSmhWWU2_Jj1nJCTHz2Ax2r049r0TFDV45M4"/>
    <hyperlink ref="G205" r:id="rId204" location="5t3IH0HwsTnJ4slDQB0SVaDz2uKwVUGLuW7_cH23XaQ"/>
    <hyperlink ref="G206" r:id="rId205" location="uBnp-YYCe35w5oKoIPEaaQzZOWQESQCvLPROEYOuXOI"/>
    <hyperlink ref="G207" r:id="rId206" location="4P3JQVlY9VizK_4eZV6oQ1fueblVlxRPCN1ftILMrSY"/>
    <hyperlink ref="G208" r:id="rId207" location="ahnbG4gAPEaJkNizCTIoazd9_qgN9QeX9v8g89fA6Jk"/>
    <hyperlink ref="G209" r:id="rId208" location="0BbjZwh_1Gy8R0xX49ABXGBfGZvNfHq0pJiQEeE5P-w"/>
    <hyperlink ref="G210" r:id="rId209" location="DxJDnKdfuQfyoRtZA3tMMOhSt4sskLLnwFjCZleI8JA"/>
    <hyperlink ref="G211" r:id="rId210" location="CSUFf8kXL43hKno_JORenNp7bon7qGeuVnGiKvfL5qI"/>
    <hyperlink ref="G212" r:id="rId211" location="0_mfHCgZbDRDDoMx_KGIEOsye9udMd8AsZjgdOvDPjI"/>
    <hyperlink ref="G213" r:id="rId212" location="emej-fKUmKM9SV2mQEDH1a89uCP3lVus6PP8HHcTDVc"/>
    <hyperlink ref="G214" r:id="rId213" location="pCn7tB4jDiVW-6kxukO_FysgSQtdeh-URDkS-QFWQrw"/>
    <hyperlink ref="G215" r:id="rId214" location="d9IuO4aTwXZvXrYB2LTiAh1KgApXcoHQGsBt0-6YW3A"/>
    <hyperlink ref="G216" r:id="rId215" location="cVLBR_3-CgsDcljGFuLqMmYOGRYLF2vCAXfVARPVle0"/>
    <hyperlink ref="G217" r:id="rId216" location="KZV7l-9UFhOkZBnE6DfXMXU6xRd6uq4s9tgNHT8qD1Q"/>
    <hyperlink ref="G218" r:id="rId217" location="6S4ZvPrPy4vQ4CIgsRfuVd-ahMn6HKFVGBP97-FnBsI"/>
    <hyperlink ref="G219" r:id="rId218" location="3O6D3UVBgflILdgkh1gOFWw2Ayty0uhxc5pUQ_bzBHE"/>
    <hyperlink ref="G220" r:id="rId219" location="gjSKZmMTBT6RSBnvrccDe8E-BuUEDatZUuyTVhaVwT4"/>
    <hyperlink ref="G221" r:id="rId220" location="HgTPT63smyjRBtLQx5LZbtlnPN5jeekDg0fDCxSk3g4"/>
    <hyperlink ref="G222" r:id="rId221" location="LOPyGAG4L2xVyjFqtGr0kEjNsbVlwUOfOWRgESAUhc8"/>
    <hyperlink ref="G223" r:id="rId222" location="dEi9xRyhZzRoKUCKAnxKJrx9k3ZrNdU_8epBcTxfKMk"/>
    <hyperlink ref="G224" r:id="rId223" location="zNu-A5fZWWcwQ_nE5KvG9guxGQs7_ktCO_xy-IaKBUE"/>
    <hyperlink ref="G225" r:id="rId224" location="JBLqhxKW38FMktdmTPADNw3VNymr5r6t1Jq37MdHLyk"/>
    <hyperlink ref="G226" r:id="rId225" location="BnDCrzpeW7mQicgMmAWVY2qkh5-gEOaDuXZEDl_x_qM"/>
    <hyperlink ref="G227" r:id="rId226" location="9cclqzII8XhXU2TuwAoz4MZbkKh1ojTsxQo5TAjtm-w"/>
    <hyperlink ref="G228" r:id="rId227" location="gLtfFY3mWsuNmPbR5_CTXTv-qMsephtvjoFnJ0MD1DE"/>
    <hyperlink ref="G229" r:id="rId228" location="Bsum2TwWPPVWBf8Jm59Y7e5gYj6lk3RhON9KBDPabOo"/>
    <hyperlink ref="G230" r:id="rId229" location="ntC-cSVqvbVH6PEQ_YQkiOTBs702oRu1xyKIojwBIxk"/>
    <hyperlink ref="G231" r:id="rId230" location="LaEuBKTaMvBn8O0L7A5O3K6bNvVTUCPEg4VgILKD4UY"/>
    <hyperlink ref="G232" r:id="rId231" location="fno8RqkCLaGV4lR1XA6c7xVl3SKgbZebKJCQbza4wXs"/>
    <hyperlink ref="G233" r:id="rId232" location="ppoejp7B_GjYADMdFh9cHwDmk2WE-gFPQjHOzgOKuow"/>
    <hyperlink ref="G234" r:id="rId233" location="FeHO2u4gpa973yAcso45Gu7oiWWn93MuQVA7jPNigT0"/>
    <hyperlink ref="G235" r:id="rId234" location="eD6wk5v9g5eB-jTNtn1dk5s3rGg4wBmih1X46Ugx9po"/>
    <hyperlink ref="G236" r:id="rId235" location="BbyaeDZdb33WnQR6teO7UPmtrdVVJe7wa-h8VpWo6BI"/>
    <hyperlink ref="G237" r:id="rId236" location="VnJBwS06lTFS8e4jgmjuNIACK8ElSDMGSDKWDyfCyMc"/>
    <hyperlink ref="G238" r:id="rId237" location="Otiy_hbupvMV24pCHQKCmwQ-MTyThD-4qlfq2NC11LU"/>
    <hyperlink ref="G239" r:id="rId238" location="e6ARdnDSJ5IwA5e37r9m2jZtPisHyxQOcMXS-C0EtS8"/>
    <hyperlink ref="G240" r:id="rId239" location="lC0nDCT6V7iy8pPpegSZ9ERrTqZL8ZjRXN-U1xjqPw0"/>
    <hyperlink ref="G241" r:id="rId240" location="ShgmjpXswEBO81qwfof7k6gjnQl5lBgbj2tlmuuOhmk"/>
    <hyperlink ref="G242" r:id="rId241" location="gA_lPdaRLkhokxnNTC11K3NYpwiHuGryxxOpiksDXR4"/>
    <hyperlink ref="G243" r:id="rId242" location="DumbaVI_pRMhGDRt6TVV8lS-BsLytBxZNiSy6nQi2qM"/>
    <hyperlink ref="G244" r:id="rId243" location="2-3rFsULpXH5S1ZkGN4bP4u-Vgrpsjrsg8WSrn774J8"/>
    <hyperlink ref="G245" r:id="rId244" location="hKcQVUF1Xd5AwkHBEIkxmwZ1b8YU3n08ZqFHwSewJgk"/>
    <hyperlink ref="G246" r:id="rId245" location="zg6JRqZLwC74sgHJR7iNXFx80tIg0zuh9hM-LvRIxi8"/>
    <hyperlink ref="G247" r:id="rId246" location="beuCuGqlTLsl4Qcw1nbrl_qkfn1CWyaV8hwXmWs7d-4"/>
    <hyperlink ref="G248" r:id="rId247" location="qbPUsA6JVpAG8HH_silKdPk8imZJpTja4A-v_ZuQl90"/>
    <hyperlink ref="G249" r:id="rId248" location="kDT-brSqzEs03LxsoAEIt4LYMeHJzBIBd6CcJbr2mX0"/>
    <hyperlink ref="G250" r:id="rId249" location="ZwPL7zGQbIdNT-ndcP4vQ7jIsxupRkGDhCYXv1f74X4"/>
    <hyperlink ref="G251" r:id="rId250" location="QTPPk1pv3SYY9-Szu-OzFGYu1sGcdX1Yu0mHgNiAdD0"/>
    <hyperlink ref="G252" r:id="rId251" location="kVvXySX9DfIDGVrddFzlSEYsXCxSHDPqut9cMKI93hs"/>
    <hyperlink ref="G253" r:id="rId252" location="AoRfCwvTSJe8bmDT-_Pra6smE81u2q8hDm-uNzBz2ec"/>
    <hyperlink ref="G254" r:id="rId253" location="ewUdwqCutCVlSKlwNX0wdZl_AjbltcAe1SxR5uaiPUc"/>
    <hyperlink ref="G255" r:id="rId254" location="-v2pICn4wNfMqGImhfeeYLrJlmskVdI3lxWKUN_Or14"/>
    <hyperlink ref="G256" r:id="rId255" location="69wg0QEaQKDG3e-KS7alym06nRyBn4speHQA9g_0qqc"/>
    <hyperlink ref="G257" r:id="rId256" location="AUtBBNjIMeDq50iKh6W8hK64QSX1forXu0IPOHnwQyU"/>
    <hyperlink ref="G258" r:id="rId257" location="kzfvprwZW1_OUpZcWLof356c29xO9YhcpGHmkG7fZqg"/>
    <hyperlink ref="G259" r:id="rId258" location="y06O8fAoimny8-MVV-Zbg2mFMViukOXX1uZ__Q8tCd4"/>
    <hyperlink ref="G260" r:id="rId259" location="uQQ-o4CXDzCGhwD8ufqaTvZ7urIZB3AQxr2sImUX4mw"/>
    <hyperlink ref="G261" r:id="rId260" location="vLR6TA9oNSiopSuYFs39VZ_w7hQzmijVstYAlTApD30"/>
    <hyperlink ref="G262" r:id="rId261" location="WBD0It3J-KVxWv6XmVJwSwQ5j1N4EXmHoVNuYWUCb98"/>
    <hyperlink ref="G263" r:id="rId262" location="bcaPKz4suO8wS1-qWC8tcDRhDF7VIBKlsgzCwkeJ8HQ"/>
    <hyperlink ref="G264" r:id="rId263" location="3s-2blYHYjSS7MZwZZtnXWv2xLwL-saN5CVEWRvWfBo"/>
    <hyperlink ref="G265" r:id="rId264" location="_g9UpNsy3CdQruaz6HRdX-JAowTSzdDblEhfQR-CrpU"/>
    <hyperlink ref="G266" r:id="rId265" location="7jlMIlLuA3JUxvH3dqLTQsVj9Aywc-mc4-lnNOsZyYQ"/>
    <hyperlink ref="G267" r:id="rId266" location="5vKjPLkWEVhxhPSvENTd7pHONMGyaSLXwySJgnBdHIE"/>
    <hyperlink ref="G268" r:id="rId267" location="EshbRUH74ciRtlY6vtSDTmowNlGlcP_Zu4YHiY9sO3Y"/>
    <hyperlink ref="G269" r:id="rId268" location="Enqniw3_UhVpyfDYZv8cFnql61TWIgQamOQ_sIBMrNk"/>
    <hyperlink ref="G270" r:id="rId269" location="v76StqW6pVnuJFf2pz1ldpXrPrcxop8H0w_SjApAPlw"/>
    <hyperlink ref="G271" r:id="rId270" location="IGUM_afZOMxQCRLNEqLsfHLx_fbuQ7qC9mFHW-7Z9kQ"/>
    <hyperlink ref="G272" r:id="rId271" location="w5U87o2-_KZQp4V7r6We_e0qPkxY3l6wBnmexuFzbLQ"/>
    <hyperlink ref="G273" r:id="rId272" location="FoPU4AVrZ4n5rW7CDuaeVmkVJOIpMlWXHb-YJO0IXnk"/>
    <hyperlink ref="G274" r:id="rId273" location="Zzp3Fk6nmYw9udGvDeSsi3g9r4LdyXILy3VYLESIOZ0"/>
    <hyperlink ref="G275" r:id="rId274" location="y6Oqy9NdIIA8AsFZs6DmkoGtBToKSRXg-2zvsozQuFQ"/>
    <hyperlink ref="G276" r:id="rId275" location="GlBCSISJc5L5dUWVLKcIBXCP1QT3mJWdIewZbvv--i4"/>
    <hyperlink ref="G277" r:id="rId276" location="W3MSDtsGcrGFxQ7GB9LeQ888IqzP-g2-9qEZEjfGw6c"/>
    <hyperlink ref="G278" r:id="rId277" location="XtCrNnnp6YNNw6EKttaK4f7_loal_aRnbqUjjEzxknQ"/>
    <hyperlink ref="G279" r:id="rId278" location="NatAlW1u6VQt7Fk0T_jVqeTZsYpM5hmwYWn2BqZj0_c"/>
    <hyperlink ref="G280" r:id="rId279" location="vc65Cbtr-_NvrKl47wL4hQkVzj6csZZlyB9N_rariSY"/>
    <hyperlink ref="G281" r:id="rId280" location="YfUi9S_F0TYCrBUQa1g74RWzigWI63q1WrTkxdd8KFA"/>
    <hyperlink ref="G282" r:id="rId281" location="yarZywfIO5oV1oSk9AUyPylknJ8X0UAnmYyUg8A-73k"/>
    <hyperlink ref="G283" r:id="rId282" location="LBQGcm7inlmn-8Kjc6RUZvGrn-LOfoNhB4olvmtdVAU"/>
    <hyperlink ref="G284" r:id="rId283" location="BiBnQrFOCrxvD7PcBPX4YpgtVPCMwXx47rMq0zyVpm0"/>
    <hyperlink ref="G285" r:id="rId284" location="8fwRHiWIADMW3i9V5xbEdBY6zBCeghkA7Pi5-QfPliY"/>
    <hyperlink ref="G286" r:id="rId285" location="2Yzy2psBhXYhQ_w0KeHPNh8tWAuAd8dC6fmNlI2kPpI"/>
    <hyperlink ref="G287" r:id="rId286" location="kiVKfCFVfrT0iIr6Iorn-9ZtTAoj-9hzmuRZPzLwT6Q"/>
    <hyperlink ref="G288" r:id="rId287" location="4ctAlOhrIBnXqRWHt2bgXs5ahE9gqK7AHNph8wHArZk"/>
    <hyperlink ref="G289" r:id="rId288" location="LCqqqKanSoF6UGrDAE9FiPiD3Nr1KDjZ8MGYwu14rho"/>
    <hyperlink ref="G290" r:id="rId289" location="skseBQPYbT_Irk2vBowkENXyEySlD5jH8_38qQR86oo"/>
    <hyperlink ref="G291" r:id="rId290" location="FPysX1RtPnyrl-w6acnnBsrhm_R1YbzmJNLGgh6wrqY"/>
    <hyperlink ref="G292" r:id="rId291" location="qtCEEKCZwkmO34OmW6Xg9tXZ3kVp4mmX67nM-OerG7o"/>
    <hyperlink ref="G293" r:id="rId292" location="q1E2VVo6Xh97CGz9jceIBkqDdtDQ0fdWiCqqJwwaMXQ"/>
    <hyperlink ref="G294" r:id="rId293" location="Zw_jHt38kVZRtek_BkwIXvWwuEGQdOXs6qIjm93MvmA"/>
    <hyperlink ref="G295" r:id="rId294" location="NCpTq4xp60wxo5UaEZE0CveWmb4l8ieMJvegBVB32FM"/>
    <hyperlink ref="G296" r:id="rId295" location="fPXAoB5nkj9AOMAGVkdGDIP4wBrvzqzSowi1MXHnp00"/>
    <hyperlink ref="G297" r:id="rId296" location="48AIvV572UVRTaYRuxvxzKy0WHCdTIGeUSy8hipb3cc"/>
    <hyperlink ref="G298" r:id="rId297" location="S2JOgyg7dKIvP5aOQkhyqGoRr2O3Siev3L3iY9JQauE"/>
    <hyperlink ref="G299" r:id="rId298" location="fm3wX924d87uZh4LtGeUCBHmd_F_jQM_Vem9IHItyQs"/>
    <hyperlink ref="G300" r:id="rId299" location="u1iCr1aozz9_yfh5A3OGCZQXbnovNpDv2W7GUmNQCSk"/>
    <hyperlink ref="G301" r:id="rId300" location="G8gIuZ7PXmTBoxWUm1b2bjyDFtb687x0q5Vo627VjIE"/>
    <hyperlink ref="G302" r:id="rId301" location="KOey9Lq0Gi7gfIkQ5oNbJ5lWl2OHJEexIuSSp1d7vvY"/>
    <hyperlink ref="G303" r:id="rId302" location="LCV5jEihAjRmmQOzUvy-Rjr0q5KNP5Av3Z8nq16jXJc"/>
    <hyperlink ref="G304" r:id="rId303" location="n7V-wEFUJig-zlyI2sjI68LmIWOut7pyEQnvzMZtFgQ"/>
    <hyperlink ref="G305" r:id="rId304" location="PQ1Yp21PZIyWPBQHzPZThYpZoB5Y_UQDaW7n-A8jcZU"/>
    <hyperlink ref="G306" r:id="rId305" location="AQr9PwWrarifcvvkGjzYOLM-xPkOXuWQuZq7NYgWPJs"/>
    <hyperlink ref="G307" r:id="rId306" location="dBstsYwIwTHzxBApmr_AQMVa1J7gFBjTpttZ7P6qmC0"/>
    <hyperlink ref="G308" r:id="rId307" location="8dehq8UI_RJSLNs5ucjOCAWL3XS_eKZnRP5ZDYkl3H0"/>
    <hyperlink ref="G309" r:id="rId308" location="CrYGQ3EJYkVSh4174ImUrsXIll8xH4IYZ-bJsyvh2Hg"/>
    <hyperlink ref="G310" r:id="rId309" location="-1Y6qpcH_987M24ZQrvWp9QVPATgyXCVQTqOON4jSa8"/>
    <hyperlink ref="G311" r:id="rId310" location="_u2pLDvqrnlfogUtCQYLUpLuUp3q6HdNuWrEWPTBUv8"/>
    <hyperlink ref="G312" r:id="rId311" location="mY8bM-NdCcN7238Q7xIYEKVKCiuVRdYMrt2oAec7EYs"/>
    <hyperlink ref="G313" r:id="rId312" location="rhnCnsSIP-4nUdvPSx_w_McCMhrFEtOHJyM4wG_VV4w"/>
    <hyperlink ref="G314" r:id="rId313" location="KqSiMBUb263iprinV92OM1Oi6GLuheIBAZEiOi_X720"/>
    <hyperlink ref="G315" r:id="rId314" location="coryPh_WYqXljBsmvauCRNlnU579SovEHqvRikRfhSU"/>
    <hyperlink ref="G316" r:id="rId315" location="6dbGfsweSjk6laaNO8dwvLds1ImEXZDmSg0uu2wAlk8"/>
    <hyperlink ref="G317" r:id="rId316" location="CKeEaze_q6vhUuShc3dC4TZzg6OXOl_dND5jfnD-JrI"/>
    <hyperlink ref="G318" r:id="rId317" location="kN0L3krYAWRiANRowZDdJV1eNGLML6Hu8ogBnrIxj78"/>
    <hyperlink ref="G319" r:id="rId318" location="RGT6Glm7EPvA6rBsb52qMh-Ec1ViFXFe_6YJ1gq1Jrc"/>
    <hyperlink ref="G320" r:id="rId319" location="5xA6ip9t4WxUW3yHk0bdUbVnhw-_q5OvTZI5aiwdbnQ"/>
    <hyperlink ref="G321" r:id="rId320" location="W1j2Z29ZsydY1g8_kuSZUCbdn-1_M7SwYFct61R7akI"/>
    <hyperlink ref="G322" r:id="rId321" location="akykpesQVmohjYfINxAxH6HoCHryUB82ewlEaW-0mXQ"/>
    <hyperlink ref="G323" r:id="rId322" location="k9S5qjhmPsXNzRPANJSfmej3sebFzEiVp_Ag_8SxA0w"/>
    <hyperlink ref="G324" r:id="rId323" location="FHS_ICEqnMl-YD4-NDPFQCgd7Y4l_wADx4CEJWi-XJ4"/>
    <hyperlink ref="G325" r:id="rId324" location="XeFyfLK6ekcRmboSaTxo89lZWsctSl7lavISbbc5S94"/>
    <hyperlink ref="G326" r:id="rId325" location="VZURQfu3loZu3dmp0v-2chG-GUR6Meb4cEw62_tWK2o"/>
    <hyperlink ref="G327" r:id="rId326" location="Y5PhuxhAmMzBXgKlXUcNH4R3dlzMETEOpjEn6U5WwxM"/>
    <hyperlink ref="G328" r:id="rId327" location="bnuRNWr14Jgazd8OGGhhxvro596n81x0of5BdaRQndo"/>
    <hyperlink ref="G329" r:id="rId328" location="wNMXWMKQUyTSGC2Z4XYBmYJosCBB3RaXk_4p0qWrIkc"/>
    <hyperlink ref="G330" r:id="rId329" location="Py_FrmLbSCmwoeAx71w3tqhvPJKckbKLDCkerepHNR0"/>
    <hyperlink ref="G331" r:id="rId330" location="bZGdrsErw6_l_yJv41cdzS3nzfpSrefJko4Ba1ydRbU"/>
    <hyperlink ref="G332" r:id="rId331" location="RUuVvRLkaiH7LTMc6U14NkHO0yirFXm1OlHmz126G1E"/>
    <hyperlink ref="G333" r:id="rId332" location="85OnhYdkJwO4ze_6L6_-oZY9yRzuYyRIgxY3WGPoUAg"/>
    <hyperlink ref="G334" r:id="rId333" location="MgtvuDMDVV1NYE05qw6lxA5mUkpK5MQrbesNklKAwOQ"/>
    <hyperlink ref="G335" r:id="rId334" location="LXYtyRYUbjPd2zMpqTTlY0TY6K3SxnvMj2ash-Ri6N0"/>
    <hyperlink ref="G336" r:id="rId335" location="jYJ9YHfM0mccxxnEgXhjcQ9PyOvpcVYCuVtX7g7uoPs"/>
    <hyperlink ref="G337" r:id="rId336" location="ygOsU67iitBBT3CXwSXuFwpVEht6xIDFxHiJu1EFFTk"/>
    <hyperlink ref="G338" r:id="rId337" location="XXs1rpf4HZvxmpp2RkaJaqRx-y-A_FgbaOxyWuC6eWw"/>
    <hyperlink ref="G339" r:id="rId338" location="si3Zl0nExdx1QKrPHqR1wOBDfrhGk8lyUo28CJWMPls"/>
    <hyperlink ref="G340" r:id="rId339" location="2PX6MQ3yv1A3u7XVO0XjWum4NOZ6tD_A7fScbDc31_k"/>
    <hyperlink ref="G341" r:id="rId340" location="CcEapwZdzKgwguXGkR9mB47j-bIqBT0RU4Ty8Sr0ZN0"/>
    <hyperlink ref="G342" r:id="rId341" location="PFp9kYTfmr5hjD89A_fcL6OP8c5j6sVl7JI2wzMSUKk"/>
    <hyperlink ref="G343" r:id="rId342" location="J3FYlIVAHrldljML83W-h7qW1iJmxHmZQDfiFyGWJr4"/>
    <hyperlink ref="G344" r:id="rId343" location="1nFiuDTRXTQ4xX5muRiS61DWy_yER9uuiE7LpUzP9Uc"/>
    <hyperlink ref="G345" r:id="rId344" location="qtz4ImK2rDcPM0BZFubIEn2ntAk5S_hXrxiUnVy2lRk"/>
    <hyperlink ref="G346" r:id="rId345" location="ldKdhyYVdwqh3AsR5vdDI5rjm8rKBURP2rrbnpvuFi4"/>
    <hyperlink ref="G347" r:id="rId346" location="dOqO2_xKPFL2BlG602G0RExbUXsv8-T7_Gz48BrE51w"/>
    <hyperlink ref="G348" r:id="rId347" location="uBZtqZHDQe8DZurN4D9-I8zFUR3FQfwRlEv-kICElvo"/>
    <hyperlink ref="G349" r:id="rId348" location="nJYEkNK2McLEm_Dh2eNYyvLolxSi3O6wUhMBOvZllkU"/>
    <hyperlink ref="G350" r:id="rId349" location="nEcvzLU9pwA6fxN1iFMfoPsE6q9_5MXt1fFUvBx7WdY"/>
    <hyperlink ref="G351" r:id="rId350" location="OkVSz03cZatiuEvWGO45TkQk2ok39FB70hSi-G8VCfo"/>
    <hyperlink ref="G352" r:id="rId351" location="IGqzXEk5uSc4ozHysq1My0lDyIbm6Kt7EhPGDmokI8g"/>
    <hyperlink ref="G353" r:id="rId352" location="28fl8L15qphYygGzKSWbI5fw7_o-A2YwLxW1Kb8bZ5Y"/>
    <hyperlink ref="G354" r:id="rId353" location="PRNUJCP6JIv7TFnMcd8cYdCf1GLGVazavL5yz7ViTyU"/>
    <hyperlink ref="G355" r:id="rId354" location="SzW8kpO4ZJ7P9QZVnaJgtREv7XWc0ImejZCC12nEI20"/>
    <hyperlink ref="G356" r:id="rId355" location="ZEj3hYXdBX8ILDuUnmW3n524p_P7iIghK0dLeyhm7s0"/>
    <hyperlink ref="G357" r:id="rId356" location="sERnNDoj5z0q4gbO8etuvF1vrBPWfYF7BlWcc2VBPnk"/>
    <hyperlink ref="G358" r:id="rId357" location="ernNkfJhI4d-gOhjBgJYCVznEWNHPPTTRI2h4-xbuVs"/>
    <hyperlink ref="G359" r:id="rId358" location="_400euW62hQXlSThSPh2B5GR1flSEcnI4fOCj6nSetQ"/>
    <hyperlink ref="G360" r:id="rId359" location="X2ZmUW29-wj3N2b4ZvhLpCitj1R-kxj0sSz3kwxD6Zs"/>
    <hyperlink ref="G361" r:id="rId360" location="nFXGto2rspqNppuCL-G0rC1EHu2ScpbBRiTE7i-c_NY"/>
    <hyperlink ref="G362" r:id="rId361" location="MHrm9Bp6uupdErL5CZXZiCIPit9wXmSoXmpvVfgM9Ww"/>
    <hyperlink ref="G363" r:id="rId362" location="nWP7xBj1KmUNM09pVBVRB4hzsl2X3k7cT5CqbGDqkkc"/>
    <hyperlink ref="G364" r:id="rId363" location="ER-UGpaTxOxAREXjHnWh7RFKO96Hl6L7Jd9oRJn1NmE"/>
    <hyperlink ref="G365" r:id="rId364" location="d0TPeQLkd_BKMLtpbhIdgcvAcvFNHQCVj6hySZCAv2M"/>
    <hyperlink ref="G366" r:id="rId365" location="HptalC59hlKfb8z4ryWr31fYO5ZPKwLOgWDVdo1b6P4"/>
    <hyperlink ref="G367" r:id="rId366" location="hPX-igeBxFnwDRZgfRUpnNKoVhDwDi-TvHJzo-Tb-ds"/>
    <hyperlink ref="G368" r:id="rId367" location="znjSXn5Z-RUSI71eXBdByW3fvkKzv0PmdEneMHMaLe4"/>
    <hyperlink ref="G369" r:id="rId368" location="Y4PVXx8PltIxIXDjU7d8B8Na-ccSPs_8O5Uvjgf9Or8"/>
    <hyperlink ref="G370" r:id="rId369" location="FHyw_2qWo3sSfMCTGwAEtVibgPE17Zr0OOAibCsTk0c"/>
    <hyperlink ref="G371" r:id="rId370" location="CLFl8LyGHSlN17U4g-OoX9bJANRSo5QceCkVUXEGUTE"/>
    <hyperlink ref="G372" r:id="rId371" location="yOsdFxSr8TlVqmtWN_alEb2XVZH39WkVQOZ62IYksJw"/>
    <hyperlink ref="G373" r:id="rId372" location="Fy3ujUxSyQ17s27GoGSFkbCgBtSj1wS1OiHNERIQkSg"/>
    <hyperlink ref="G374" r:id="rId373" location="QWx3AvZMcKRa8PeaVdVhZvBwwL6OU3H2i6sW5fHtUJg"/>
    <hyperlink ref="G375" r:id="rId374" location="oJR-zFoLKC8jzsKjsVme0or0XR9DTePQeCO8nYNO-gY"/>
    <hyperlink ref="G376" r:id="rId375" location="m0DnEbUfmpkX-txQaBTvTbXoUEQkgBGbop_gALHc3LQ"/>
    <hyperlink ref="G377" r:id="rId376" location="jqlcc4r9yAJrPvrbenOCgvPiww9J48kkXNPWgjlSJ1U"/>
    <hyperlink ref="G378" r:id="rId377" location="DgP7GZ--VfTo1FbkY2xmh5LPOu2H2aU2rk65ajQCs80"/>
    <hyperlink ref="G379" r:id="rId378" location="r4lOThK0OrE4w3iB5dxrqMLrWIl6tNARjpmxUxx_1gg"/>
    <hyperlink ref="G380" r:id="rId379" location="26zzJ1-mkli0Zy8-tWwFvLEor71yO2x38BSoH1Zi_7Q"/>
    <hyperlink ref="G381" r:id="rId380" location="Ge68uPF2RARNDJceObwItEYV5P2gEGYI9KtwVJ3am_k"/>
    <hyperlink ref="G382" r:id="rId381" location="nzwV8pUXO8Bzcc0rS8CTqw-gmbAlGq3FMRuMmmHZzQw"/>
    <hyperlink ref="G383" r:id="rId382" location="Ad8dBF8PPfUpu2pzxZRjfrq-5kAfC7Hwqp1UuGzNi0M"/>
    <hyperlink ref="G384" r:id="rId383" location="9qxYQ_IUlZtbFKJ4xsvjMpQ8iFlSqG_HHIhmeWphuXc"/>
    <hyperlink ref="G385" r:id="rId384" location="0ku6u3g7osXDIjDPMxhNlRqP24zou1tJOO9iEOBO4to"/>
    <hyperlink ref="G386" r:id="rId385" location="16NJYM89xf4oF6TtYCjdiFt0Mm8fqM_2Z1uKXWE28xw"/>
    <hyperlink ref="G387" r:id="rId386" location="GvbncQFD0FSCC5VCRacf01oVsc0A70G5kX1cWuCLAWo"/>
    <hyperlink ref="G388" r:id="rId387" location="QPh10u8Njz2t5JmN3F0SfeG6TvXdov5407qHla9QNS0"/>
    <hyperlink ref="G389" r:id="rId388" location="_3l5qxC6rbx282I9rU_B-yd-49XjjyS63-SZ_vu8Vv4"/>
    <hyperlink ref="G390" r:id="rId389" location="xaQgur-_ckJWWZVc-AiC2nf9L1YwX6EaVPsoHCC17Jk"/>
    <hyperlink ref="G391" r:id="rId390" location="nCVCbxy6WFBdGO2owepOdnLwD6LAVL6k9aN_u_n-MRk"/>
    <hyperlink ref="G392" r:id="rId391" location="xWPr-2L2kUw7KmgzkKyQXghuErQoGhTVpFSBx1Vzr-c"/>
    <hyperlink ref="G393" r:id="rId392" location="IsTye9MUHRRvRJkrEU2-TFGAk5zHxYVZDiAteuQYMNo"/>
    <hyperlink ref="G394" r:id="rId393" location="nfBYPVHcth7cb_IuC-DbROrhTA3SNBQ-jq70l6EqPcg"/>
    <hyperlink ref="G395" r:id="rId394" location="_kQxynF9Md2aG4CdqE510m8hr6bRRkvomg_nDC4_gX8"/>
    <hyperlink ref="G396" r:id="rId395" location="-8LMRtjZqTdnmNUNk6PmgAeapZZu3d3IvUGq5G0S8P0"/>
    <hyperlink ref="G397" r:id="rId396" location="QxCIWAMVXqb0pYV0XJXbIiGlksW25AI-lC6_3xNC0_U"/>
    <hyperlink ref="G398" r:id="rId397" location="PsiP4IVvqJo5QEFd40WJ-aS1VF6jMuMN975v7Z6wnlo"/>
    <hyperlink ref="G399" r:id="rId398" location="JcmQAUrZZMrFUT4z7ynk0iXs9BxJNuzfGa80Ojr_2pY"/>
    <hyperlink ref="G400" r:id="rId399" location="GwFZ4MKjMPTP-zPHyrfffjTYIadSKbd94a8c9E6dYmA"/>
    <hyperlink ref="G401" r:id="rId400" location="OeXviLi1RwjTdDPBD72ojbGFVcs2RJSFwYbWjXS35Vw"/>
    <hyperlink ref="G402" r:id="rId401" location="BwAa5WrqBcMVpoSeT54T05yH3-SNE8vXVZYHmor02Uo"/>
    <hyperlink ref="G403" r:id="rId402" location="Fyq91VRVLeAkWSBa4l6cW41FNdm9VcmMQweFnSEfqvk"/>
    <hyperlink ref="G404" r:id="rId403" location="5qAzxBTeBHNN_SuxNy2zXt-en894TaT1J9eJ1hBEzOs"/>
    <hyperlink ref="G405" r:id="rId404" location="OETnd3tiY2rhRbQWV-ACN4qmwwtkTuNZL28GFCliQQ0"/>
    <hyperlink ref="G406" r:id="rId405" location="3poP10kY_KzdS8_2WiRC4GJsr2woe0BZx4fCZnMqcM0"/>
    <hyperlink ref="G407" r:id="rId406" location="qa-gKpC_pvFgcZYt7vXZfVAASEpw6GiMe2xCeyq6Th0"/>
    <hyperlink ref="G408" r:id="rId407" location="idrmYt5-I2Z4zVpV6qZl--JR7ahlG6pMw4EVad2BnLs"/>
    <hyperlink ref="G409" r:id="rId408" location="4vyoMvMB6QUlZ4mUjleVsHdQPeUulwI-IHrGyT6J6oc"/>
    <hyperlink ref="G410" r:id="rId409" location="wGYLshzjC-j_3X6-g_AtE-8zxN8cNH2nL1U5772otsM"/>
    <hyperlink ref="G411" r:id="rId410" location="TO5QS5a985SkR0rdk7Au3yL8rTVfZ-2F2nzPCgcpVcI"/>
    <hyperlink ref="G412" r:id="rId411" location="GPqTV9p98HzumbZRFqh2hA-FJDpGhVy7IEQcB-ucykQ"/>
    <hyperlink ref="G413" r:id="rId412" location="SkRHO4YDf7K25evpx7nE2G6BDQ94kOZNRz54_S2wIOQ"/>
    <hyperlink ref="G414" r:id="rId413" location="qhNo0yk-ae-0AHOa05qvhTmZhOFXffaePyC3gEj1dxo"/>
    <hyperlink ref="G415" r:id="rId414" location="OMcGnm0Sdw68elCkG1KpPAgn0Vh7uTMIRZasUbM2dfg"/>
    <hyperlink ref="G416" r:id="rId415" location="pk8ThP81vLMPPw_rrArWM3eoEf-OhhhDtZ5XU61kJBo"/>
    <hyperlink ref="G417" r:id="rId416" location="LfU6BqKLpt5mlcNIj_jsIkuSnBIgyVUujUpVUk9MKYA"/>
    <hyperlink ref="G418" r:id="rId417" location="3aDsayVb4dzScLZp5HDHKRQC2l0rILqSKKOi7UzdjW8"/>
    <hyperlink ref="G419" r:id="rId418" location="YF05rbN7fhR8113x52hxoY3OAYusQc0unGSVmEhZm3o"/>
    <hyperlink ref="G420" r:id="rId419" location="LupwtlSU7IaaY_FKEfRVa4ew-PCzbo4tR_NRRwUxqig"/>
    <hyperlink ref="G421" r:id="rId420" location="mhtrNwlWZpCOtxJjdKIwsAMQRZIxq00JeHGo8rEC_cg"/>
    <hyperlink ref="G422" r:id="rId421" location="Jhf34aWOdHVwt-b1z8B5h6QRWiTRWi1xvOurQLzPyms"/>
    <hyperlink ref="G423" r:id="rId422" location="zZpLBQhCwt_njKpwjbSJhWELPyJESx3EsFPobbzUrEk"/>
    <hyperlink ref="G424" r:id="rId423" location="wgqWlfAkbDeysi4wnIkEiQ-HMnPau645GNoa2hi8EeE"/>
    <hyperlink ref="G425" r:id="rId424" location="3Z2Dtr_EdEQ86mKl8qc1HTp9wPs9xUqigihzm0SZdPU"/>
    <hyperlink ref="G426" r:id="rId425" location="82aF39DzmEVhR59rstPp-VVRKwuDTnZcsWiTqGyyv9Y"/>
    <hyperlink ref="G427" r:id="rId426" location="Hsmq7WHHSpU904bQc1hdJK4FmEw8fGH-pKYADdHpgRM"/>
    <hyperlink ref="G428" r:id="rId427" location="trijwaesAUkDdjoA-GpKAJPJsFAIclsxKyruDXeol50"/>
    <hyperlink ref="G429" r:id="rId428" location="0ZyVmK1EgzCWaQSovD_0hleOvN5FG5Ru7sEjo3p9-8M"/>
    <hyperlink ref="G430" r:id="rId429" location="0Gm6xWmG_KXu0jjWl9YjUf8heiaMMSlJFE6JnVvyfmM"/>
    <hyperlink ref="G431" r:id="rId430" location="PHPGE1HnSVANksv4Xf-KhondBH8hxrwi56Ecv_pPm2Q"/>
    <hyperlink ref="G432" r:id="rId431" location="GApauTtNF9Cdy2QAo04wVOIpCyvR-9zI2Bsyh1Z8_hE"/>
    <hyperlink ref="G433" r:id="rId432" location="rWGIO6gXh_JeLj_iV2rJ3Mg0MCEvjj2evAbLY5aK5HI"/>
    <hyperlink ref="G434" r:id="rId433" location="psPrJOeurvwxQANS37MzNHu3m4YK-o-M3btSAPljlgM"/>
    <hyperlink ref="G435" r:id="rId434" location="fU8G3hKYWaoRDXo9H163-xYxxJ4zwBsNJK6s-zJV0uI"/>
    <hyperlink ref="G436" r:id="rId435" location="I80EtZc6sxuMgjLSSZk-cjLrxQKseDboL8tFHbphAAI"/>
    <hyperlink ref="G437" r:id="rId436" location="GXzqpRf_g-MLUYR8gJ-XvuhEZQGjtqGTcTMfbmUZzzw"/>
    <hyperlink ref="G438" r:id="rId437" location="CCNc9RZ-rKKSeP1MfLmN_Lxjtt-J9YeVma52e6-UD4E"/>
    <hyperlink ref="G439" r:id="rId438" location="yyeZpBRPpOOfIrmqzTKX1YWSbFEmwPN3vR3T2gNojVo"/>
    <hyperlink ref="G440" r:id="rId439" location="XNoVDE3Ne3hnC4JlesosfJUYWcf62Y5dTBlbp_TIo_Q"/>
    <hyperlink ref="G441" r:id="rId440" location="2DwJ4wG6wdUyF92tiEJssLxzbkfUcLswc5PPsJbsT2k"/>
    <hyperlink ref="G442" r:id="rId441" location="t3lpQQ4qd1qGIyIXGKpCEm8VXET_1kufphqHGRo9rI8"/>
    <hyperlink ref="G443" r:id="rId442" location="ITJguzRu495E1xdLDaZiXXy4g9HG4sbx_2POwJ2wy2E"/>
    <hyperlink ref="G444" r:id="rId443" location="UkfzukBxo5ltmQEJKER9pHqsBThsTrLhUGKVZ7WM33k"/>
    <hyperlink ref="G445" r:id="rId444" location="CQzY2ibA2KJ2lBHSpJfnEvuXEJ81DtEOEib_4bc2xgg"/>
    <hyperlink ref="G446" r:id="rId445" location="HVpMiywqehpBLtPDQZNoRm-5OjIY-x5Sxw1ILqyxcH4"/>
    <hyperlink ref="G447" r:id="rId446" location="-B3Arg_pXSHwxwG-j18fQm7OY7ZjkrmXcXPkbhqQwcE"/>
    <hyperlink ref="G448" r:id="rId447" location="-JAJuJg7pcSXIQ119enSW-sV5_211b1nWtKFmRhHDL8"/>
    <hyperlink ref="G449" r:id="rId448" location="WFPhw5NyfU5i3QePN4hV0or-b6ZvI1F-2arG8tp6WJs"/>
    <hyperlink ref="G450" r:id="rId449" location="aDfv6P0XFCfUqLsGC3VzmEigw9sCtz84b3oTXv37P5I"/>
    <hyperlink ref="G451" r:id="rId450" location="IJH3OIbzNvh3JgqN_fMYral25ImeRu20npa1RYlAhj0"/>
    <hyperlink ref="G452" r:id="rId451" location="2_52J51wNdL61ZXIkYC86PsDs6xKLAAX531WTcvyYnk"/>
    <hyperlink ref="G453" r:id="rId452" location="DbUOAgtoqaNv3kWGG5L9XV4-SGY05TRrUf77oAuagmo"/>
    <hyperlink ref="G454" r:id="rId453" location="4V80KaLUOJIzdhz8Vb1a1lzh5YOTqjmJtlGU8fmc7i0"/>
    <hyperlink ref="G455" r:id="rId454" location="s1U1JoB3oWWCfFJ-4jTpy_ICtp-uz2Z24K3Ls2wT7j4"/>
    <hyperlink ref="G456" r:id="rId455" location="lv8IGANqrilDz90wzlk2j2FXZMsNFcCs8Hjz3sFoGnI"/>
    <hyperlink ref="G457" r:id="rId456" location="7XIUShPQXzu4pWFJ4Vxv8CApjQmEVRXtewei8hJMrFU"/>
    <hyperlink ref="G458" r:id="rId457" location="5sXx4iJRMUDrNyDy_dzumVR0_0ckCma8bLe4UNt4wMo"/>
    <hyperlink ref="G459" r:id="rId458" location="R_GsnVnfrax4V9LEtL-J5KPyvaWYdyW47bq5sSnBt-w"/>
    <hyperlink ref="G460" r:id="rId459" location="1oJtm0w5QK6wb5Az7Aniu8afdaCLujbve_A2LuCL5OA"/>
    <hyperlink ref="G461" r:id="rId460" location="XcFi8RgNXl4qrkqEqEk0kEbOMQgKqMk_UDWtXqET_U0"/>
    <hyperlink ref="G462" r:id="rId461" location="h61zWXqmlqbAp5H29OE-JkaB4sBVmmyzVQKQ2uvs-po"/>
    <hyperlink ref="G463" r:id="rId462" location="B8GeEiuTYKMB4J9lVCZxFKC3n3p-iKnXXOW5FnCzrn0"/>
    <hyperlink ref="G464" r:id="rId463" location="esEoF47GLfL-zkvJAdRX39qszfxTOO_26FHS-s2VL78"/>
    <hyperlink ref="G465" r:id="rId464" location="U8SxgFuxi1yJfjbjkJgH2IVJ5ycoqNIfc3eb1itVywk"/>
    <hyperlink ref="G466" r:id="rId465" location="fktc90x7ArAfOCitoM8oGXVlUJd-Zgus_rWKSWW11h0"/>
    <hyperlink ref="G467" r:id="rId466" location="J3xpBJCKwfJ1m7LywD4MDHsUahoHxD2mGS9CutCHFcQ"/>
    <hyperlink ref="G468" r:id="rId467" location="Gb7qExjgFt9SvHTAgigcJtkshcWJfg5odWamxtEfim0"/>
    <hyperlink ref="G469" r:id="rId468" location="JumlNJP92kJlj6RzJxW9Y8RKqrsfrveuYXbTk5vtbxo"/>
    <hyperlink ref="G470" r:id="rId469" location="D5LgyPxSjj_S1vrJhM_b7evX11CTfol4t-E8dvFq8tE"/>
    <hyperlink ref="G471" r:id="rId470" location="Pz7RcaOp_8orB-kDpu5AvbYdMbj4uX6bOTwv_TB5PGc"/>
    <hyperlink ref="G472" r:id="rId471" location="YBfALhwjz0wCzEFY1b4ZovRKskiNjzv8qV0GX9bhVxQ"/>
    <hyperlink ref="G473" r:id="rId472" location="Mh7KCGczuGNr7D1lPfD6LD1QN2t_fHVj1TqJQCcRbCo"/>
    <hyperlink ref="G474" r:id="rId473" location="EDbOrtgM24Dv3FMmZBZ1DTMF9Ai6lE_VNYOemVH0cxw"/>
    <hyperlink ref="G475" r:id="rId474" location="LO_1pMWmeAFIM3HO4aWHOWP4WgKhkt8WuEU9lHlUaEk"/>
    <hyperlink ref="G476" r:id="rId475" location="sNCCpUQvHN7gE2dx49evtxhVh8nW2zxBbjOWJ4b5IiY"/>
    <hyperlink ref="G477" r:id="rId476" location="lM5M8jJ9vmIMkYub1kmJ1Lm5tELkJCRjzCZbKt96JXU"/>
    <hyperlink ref="G478" r:id="rId477" location="xTjFpfymh4b7wjJrNjqVZxCJjDvZlA7XbqT9a948UXQ"/>
    <hyperlink ref="G479" r:id="rId478" location="zeHWEes8BCM9JyW9M2eXm0z2Ux3nGwUQ0kGGsyR7Clg"/>
    <hyperlink ref="G480" r:id="rId479" location="fddVY0_GvZInJ2q1Dx502_G0lDfnywPo03Oz-MRCDrM"/>
    <hyperlink ref="G481" r:id="rId480" location="5HQt9aG8Dy5wgtbKasn-iaA6A4A8Jw0QEGzvJFK18TQ"/>
    <hyperlink ref="G482" r:id="rId481" location="W_duu5tNjtBegzXkjBMMtwl3MUEiYL-nBg2t5At0DCE"/>
    <hyperlink ref="G483" r:id="rId482" location="g4SBiYFpxGfo11PNUSbB_xN6_O8Gs5o9CxM9azrBcYU"/>
    <hyperlink ref="G484" r:id="rId483" location="3ORFXj5ucT6izwiYAcbIs7_hEGaqBWCVZhkx4HOWdSo"/>
    <hyperlink ref="G485" r:id="rId484" location="eyh6m54VmkYVtoedxTrH5xKpFYC1aIh4gVJx8wf8LG0"/>
    <hyperlink ref="G486" r:id="rId485" location="TgcdxXC1AKyXgh38XBQ1fXD0N0doaeuIzyWQsQuIYbw"/>
    <hyperlink ref="G487" r:id="rId486" location="zCSFOu0MKTUSOfkgfXIdqbBIH7xLktjF9hwdqlVH3E4"/>
    <hyperlink ref="G488" r:id="rId487" location="YwjjwpSvDuSxgk-bL4KoW3rkEEqq9iwaxnufFwoQrs4"/>
    <hyperlink ref="G489" r:id="rId488" location="915xmjSsnhNgwtwE21EWJtKuIt-2127ZQd_KGeQfuaM"/>
    <hyperlink ref="G490" r:id="rId489" location="ouczprAcdrXm0JukO20DbrkShRlYQ0M1aETAWU_lFC4"/>
    <hyperlink ref="G491" r:id="rId490" location="WpkVE9lvHZszje_Ma5gC6zC3hB09tLI_zQ7Xul4LMX8"/>
    <hyperlink ref="G492" r:id="rId491" location="AG3Uv7M8P7bJ6i19g2SZRTEu2hZ4chto9AX3j2TQFOI"/>
    <hyperlink ref="G493" r:id="rId492" location="dJ3Of-8O5TRVkjt1R1t7R7t4zdsvZJIWV__s9g1-cok"/>
    <hyperlink ref="G494" r:id="rId493" location="Zy8iDjz5tYJiJEB0IrOJ3hQrx6MHlF3IA1aFkUhbui4"/>
    <hyperlink ref="G495" r:id="rId494" location="aJLAJNK5nWeutrnKXaHx0DmA9tJ9B7EOOVx4anyKccM"/>
    <hyperlink ref="G496" r:id="rId495" location="WNba3JmE5S79jolk3dJfXaLgp03wBOX2Ah3-aGoDLvo"/>
    <hyperlink ref="G497" r:id="rId496" location="63xgNR5zh6IzAFpSzztRKsOrbq209rHoDHgcrhv8yE0"/>
    <hyperlink ref="G498" r:id="rId497" location="mMZ5fdLW9AZDqYq8ZBwOgwE-yULyanWGWkd5bHj8VXA"/>
    <hyperlink ref="G499" r:id="rId498" location="yteXYpWxhk_-qooFpYX19TMAyollv-UyxwxIZZTRf88"/>
    <hyperlink ref="G500" r:id="rId499" location="9ldMuSBR4YqcJa_-kaZ-IcgTPYDWDCVJYc0SRuj8p14"/>
    <hyperlink ref="G501" r:id="rId500" location="e_iismfWL91o2tYVOcYddtD0eW9LxoNG0UQzTKTFvOk"/>
    <hyperlink ref="G502" r:id="rId501" location="oFp4dyiUiehl4G5NKmtPYLi5IX2xORQEohj5MVhgu8U"/>
    <hyperlink ref="G503" r:id="rId502" location="KILefFVj-KLaE2x66mxtsnmY7ID1xN_agZy8gw0P9Iw"/>
    <hyperlink ref="G504" r:id="rId503" location="qS33uQVgRdT2bc2j4hLTyJW8Ug1VdNDWi7MnLMO4fVQ"/>
    <hyperlink ref="G505" r:id="rId504" location="WJPTdhMZXNvy_HiXq-YW_Hlz4dRwJ_-XN_1ygURGyvA"/>
    <hyperlink ref="G506" r:id="rId505" location="plPDFv90CfEiVq2C1ykUD0B6SKPN-BGAi1srO4Gbmls"/>
    <hyperlink ref="G507" r:id="rId506" location="ScPmu406j3qYMbdUBk9T0m3gwoUMFPAhRyW0Slu_2IE"/>
    <hyperlink ref="G508" r:id="rId507" location="N9f6r4cAvwgkeYFnQAQCjpXhbI45Vbd7ZbB7NWHigx8"/>
    <hyperlink ref="G509" r:id="rId508" location="g1hoRNDL4-tnbHun7-stPGPU4Vgzy4x3Wkq6c_0RleI"/>
    <hyperlink ref="G510" r:id="rId509" location="SBtov7mSjIuZ9H18Ymx1ohdFsHEAi0zkNUmLp5kTafo"/>
    <hyperlink ref="G511" r:id="rId510" location="-qkVUyCByKlBXxPutNo2sL-sIgsUp6mskU3wc8Y8bxY"/>
    <hyperlink ref="G512" r:id="rId511" location="gGrZR3K2B2DvfMfzzoroqWQJVx0X7dWeKlXPNH5oDgg"/>
    <hyperlink ref="G513" r:id="rId512" location="l7IC5GoqgDQIx2wym7r1Mq-BTaCVhN1KddlCjp2WqCM"/>
    <hyperlink ref="G514" r:id="rId513" location="8khrPaG25QIyfQZ5oK9g9cdVE55nJ8lmxv6gHRf2cSk"/>
    <hyperlink ref="G515" r:id="rId514" location="A3uV5GRyhM8D6VMXtoolgllDI0ehnzw3boHFUOEMuqM"/>
    <hyperlink ref="G516" r:id="rId515" location="8K927UxqvQ1kuA52xJ3RUCQOnwyv_hBFYB4g8FYocp0"/>
    <hyperlink ref="G517" r:id="rId516" location="f_mMqqX3Kw6k3EgWtFrM0uWyfy7PfhTYhFhCaO6VDhM"/>
    <hyperlink ref="G518" r:id="rId517" location="LmXP-6iRIypIyWFn6syxOHXkj_woL5oPJ7mD6hMvmg8"/>
    <hyperlink ref="G519" r:id="rId518" location="MFc8QbJdFb3eVxoWpGR_0aFQPsQ8EuG48-HBEvc5buQ"/>
    <hyperlink ref="G520" r:id="rId519" location="f-ML_OhY6eD8_vtRuu-vPZ3OaOmOfU7STZYJ1ohi_IY"/>
    <hyperlink ref="G521" r:id="rId520" location="rlKMIRMCailbsomVmyQ5dSUbVjrcLOoVWj3EqNtNYjs"/>
    <hyperlink ref="G522" r:id="rId521" location="1UGEHDLCmavuPqMX_4JFIdDVq2n2fseXtJ-JSpWv4XU"/>
    <hyperlink ref="G523" r:id="rId522" location="ltSepNAUXDqeH1rQJmUVNbwg4Qyw9nH2RVWIRiJgVT0"/>
    <hyperlink ref="G524" r:id="rId523" location="2oICe2FAQESwmawuHR3FmZFm_lsijLCEkVJQrNBHCa0"/>
    <hyperlink ref="G525" r:id="rId524" location="r7DG7Ns4b1XvX4wdDnfmnwSHH3iJ1Ee7fgIA_u7lcro"/>
    <hyperlink ref="G526" r:id="rId525" location="IqctHDrxTpW8T25Yxa0CwtR3Q-R_I_Jbs7US9ttFfto"/>
    <hyperlink ref="G527" r:id="rId526" location="nk8pIMET5mevHJYUyD9lMSANdwOXfqMkPmxuBmpCLUw"/>
    <hyperlink ref="G528" r:id="rId527" location="Mp_nnO-7HVTZUtPZjXspne2liTZFzKoQdzD4JDyIiX8"/>
    <hyperlink ref="G529" r:id="rId528" location="E4c2hSEHT2vXVUbAamjcr7A66VKbR4AJfuPGpFEddg4"/>
    <hyperlink ref="G530" r:id="rId529" location="iFJ_S8uNxquckFDHipu2MiEUqIb1nrmGvxKxNyMfAmI"/>
    <hyperlink ref="G531" r:id="rId530" location="pT07G4Xd5_Z7QzsP_HsI-Up6xlmy21DdOPR3ezssSQI"/>
    <hyperlink ref="G532" r:id="rId531" location="hbhRPrmIQ43G0iT3YVFS-NsAh7yQv3pS1vjWmyjr5uQ"/>
    <hyperlink ref="G533" r:id="rId532" location="UFaLoj-f_UJj95UTf7rXD227iHjMQkcbK_5knLQFsGI"/>
    <hyperlink ref="G534" r:id="rId533" location="qGjMDvr5l6BDllBa4Fgchi7fgZyZRab_vlj4OTEhaeE"/>
    <hyperlink ref="G535" r:id="rId534" location="r9jtRQiCUXjJb2rhO1SFpb9wJZpyfpO24E-_8mltxKM"/>
    <hyperlink ref="G536" r:id="rId535" location="xjDz8GNk-wAx3HryjRv0WcnKwPQNE3nqOUxDbrdnj8Y"/>
    <hyperlink ref="G537" r:id="rId536" location="LLczCpb1JFVZjSGzsJzk3dIY7Wwo60uICUJKEM_VMeo"/>
    <hyperlink ref="G538" r:id="rId537" location="HHXI4Dsb3BUyK18dlUj1wVSGxN60FGFMrRhOUlSQP-c"/>
    <hyperlink ref="G539" r:id="rId538" location="FwNW78ILfZShVoGpPweCD5rGC1UfcpG5k1DiMNhVVBc"/>
    <hyperlink ref="G540" r:id="rId539" location="LLAUzA8ewkz0IGaTD5TP3PvAvYrq7LRovu-m7jtkowc"/>
    <hyperlink ref="G541" r:id="rId540" location="h4yM0TDWiQCp1VoZWM-cmgZyz3T7CtGZe0GbK7KA1dE"/>
    <hyperlink ref="G542" r:id="rId541" location="2q3G0VyjCoMKUKVvEAAIn4atPfJpBwwpmkg0HTIutQg"/>
    <hyperlink ref="G543" r:id="rId542" location="7vFzHfExI306MQ-7TNi-nSkbsIcMlIjA1hM2Ke7FEr0"/>
    <hyperlink ref="G544" r:id="rId543" location="CY_2vIIhfQ7el--iypJ1gez-TUNYbSUah8Lrn0ZQldc"/>
    <hyperlink ref="G545" r:id="rId544" location="9JH4lkZrzJmWFm3idslNmOfkG9YukgFxtxUJqJ9M0Nk"/>
    <hyperlink ref="G546" r:id="rId545" location="ucBX3UKq7ufAOVGT4S1k7cB1rymaJmC4Glkc1BPOJFM"/>
    <hyperlink ref="G547" r:id="rId546" location="lAE4Mxyy6L8a56f1tpceJtriGxWh0-citDGXkcbULHU"/>
    <hyperlink ref="G548" r:id="rId547" location="SIndhhtufc4hfI0JQp-KSfk1B0JMJNVyb5f1rNkMp0A"/>
    <hyperlink ref="G549" r:id="rId548" location="Gql-N0U0jFJ9ZX52qVE7Z4T8h4-LPxdL-ke617ejgRc"/>
    <hyperlink ref="G550" r:id="rId549" location="uKKMkRfZJMT1unHHpVRBcpd7FVhQLQcpE1T_WKSvfpg"/>
    <hyperlink ref="G551" r:id="rId550" location="h4WKbWBMgvBkyxtwbB7H1j3ZwZd7_Ue58AtxHH4vhBE"/>
    <hyperlink ref="G552" r:id="rId551" location="NzUSloOvtt0sw7uHsQnrDSci4MphvcNruNp1ghugrzw"/>
    <hyperlink ref="G553" r:id="rId552" location="DpNwaN93RcQzArSqbIflCFUa4s9XM5Kz7M88O0FLDRQ"/>
    <hyperlink ref="G554" r:id="rId553" location="NAv3thvDMdmCPQCvr13nEqmxzzbBXuNgzSZhSxPOSmg"/>
    <hyperlink ref="G555" r:id="rId554" location="Zo62xFRNMKUMMmqVcvSBE2DixRlof5S3--5CYCk2XNM"/>
    <hyperlink ref="G556" r:id="rId555" location="B4cHkq8ARbJAmMkPU-tS5Hvy63bWS8Ct4m4K6SipXXQ"/>
    <hyperlink ref="G557" r:id="rId556" location="kq1QJPEU6FVrmlnCFIG3MlB-u1ZLxFcfntEnO6D5ldo"/>
    <hyperlink ref="G558" r:id="rId557" location="itPfernavrc9l0Y02dAxqUV7km0kwMQ49y2a3ue3ymk"/>
    <hyperlink ref="G559" r:id="rId558" location="NxCikysQwyIUkOaZLNVOiqxazPkWEjVuvR4M6K0Wr-E"/>
    <hyperlink ref="G560" r:id="rId559" location="RoDag5UmxOuQYinOylohgfDHwkPX_zZbhq_bnjxrfI0"/>
    <hyperlink ref="G561" r:id="rId560" location="172n0_0sjhsuxFohMl1IrRzOMP4aiOynjMKj2YbQ5iU"/>
    <hyperlink ref="G562" r:id="rId561" location="Td8T69sCcQu8QWvgVsgd8VGwxV13gODiTRZPWq3RCxM"/>
    <hyperlink ref="G563" r:id="rId562" location="KVKKYeZmeVFoGLej3iD4r_wmvF7lY4YrWBn-rdbqcdQ"/>
    <hyperlink ref="G564" r:id="rId563" location="NXbttD3E0YSZsmHABZJ0vr8UTNViggSZRB9cunpLWAc"/>
    <hyperlink ref="G565" r:id="rId564" location="_Gi4Mn4WMWXsYRlnyLCn6LAj0ga4KnYC4G7FK5T-tow"/>
    <hyperlink ref="G566" r:id="rId565" location="xvLr8NXXTOr4lMzGByu3tvPaMjCBk1CKPO9gIQA82oc"/>
    <hyperlink ref="G567" r:id="rId566" location="deYwFv3AnP7d2msNTrDBt_Q09ODOdyJaCaobZfgyO14"/>
    <hyperlink ref="G568" r:id="rId567" location="cT4diiDriEjk22JPSmVCkh0WvJdcB4Zot5KX78jHb6M"/>
    <hyperlink ref="G569" r:id="rId568" location="VHJFeBH9Kp7KBfC14yoQiGHlw-2xA3L56h_bMkBuI7Q"/>
    <hyperlink ref="G570" r:id="rId569" location="s42aKXc-dQEaVXtOajUz_cNU3TRX9dk82NiO8f7nrY0"/>
    <hyperlink ref="G571" r:id="rId570" location="7e3CW-SOPPQLKqn77h8Sd7Ki3--OUhEcwTR0Hr9Q-1M"/>
    <hyperlink ref="G572" r:id="rId571" location="yRCSPzN1gTtFQDJNX0brhpyEbJIprzgCZK7U-OT7L7E"/>
    <hyperlink ref="G573" r:id="rId572" location="xfOKunjc2t0306V9PvZiG9sVeqNniYkBMT7P9swX-_M"/>
    <hyperlink ref="G574" r:id="rId573" location="n-yvPysJ3NhFPrQpDPC4ofLI-vVpnV9ABt_TAOAZ1UA"/>
    <hyperlink ref="G575" r:id="rId574" location="avuNKA-uW1L172jtbPHVcRbp5OF2o9yIYvVy47K7YSU"/>
    <hyperlink ref="G576" r:id="rId575" location="DafDGcsyVNvL7-Uo-mjgtpI2TCzkuXAutTjhXfLGVC4"/>
    <hyperlink ref="G577" r:id="rId576" location="aXldf45s5jxFODXQOTkoNNjvEm94RgVt4O3FKna1l3I"/>
    <hyperlink ref="G578" r:id="rId577" location="mgx4RcsZ3N0QfEmkb67Ub1LArOexiaF1u0Oh2yN4u3E"/>
    <hyperlink ref="G579" r:id="rId578" location="I1odtTZUxVqW2MwrcF0SO1LmBA75CLnAwn3YIC_EbkI"/>
    <hyperlink ref="G580" r:id="rId579" location="ioWa0p5d27QgvhlxRj6zI9BwvP3D8By0bNF6c1UfSw0"/>
    <hyperlink ref="G581" r:id="rId580" location="behSs7yj59UjfUt2gGEoiRiI4NZ4tWMw-5F9KE-rb6s"/>
    <hyperlink ref="G582" r:id="rId581" location="63kZbR2NVqfl4J0l_tqLvnd2KOorhEJAH2ubgykWxKQ"/>
    <hyperlink ref="G583" r:id="rId582" location="lSiNXFtHlu5h9hYsAz3kUnMi9ceKVWLAMA84gVvWKPE"/>
    <hyperlink ref="G584" r:id="rId583" location="IQK66cZlyx2HlVhR4iQqUHKF7mWl4365wWN5AimiYpI"/>
    <hyperlink ref="G585" r:id="rId584" location="9QyoMZObSgwILhw442sPjl29toDdJjHDw_d4XHJ35VY"/>
    <hyperlink ref="G586" r:id="rId585" location="eWSmJQI4pejRuG5nRBci96PT41NzN1DMBZAsLb43Cxg"/>
    <hyperlink ref="G587" r:id="rId586" location="wEdW2EBtkK1yaK7dMX4nYUuLHls-JIir0xBTd_Pz-UY"/>
    <hyperlink ref="G588" r:id="rId587" location="NjOXG_E2mhi8HnsCTD5uufrWZbeH234dFH3sRS_9XOE"/>
    <hyperlink ref="G589" r:id="rId588" location="Ad4Z0bb6VzHkYfq64bgM6CWOP_4Z_AvOgup6eFS5Xuk"/>
    <hyperlink ref="G590" r:id="rId589" location="efjsqWTwHex7fDYpvz9lwKCFa2W9t-jIqvZW16GcfoA"/>
    <hyperlink ref="G591" r:id="rId590" location="gp2zfnw1Ep9VrdPK4RnEmeimJSgSwxmSCK2Nfzfb0QQ"/>
    <hyperlink ref="G592" r:id="rId591" location="_N-DQVn_GTAyhH-vV2HN7a60hyDydnRW6RU1GonDhmE"/>
    <hyperlink ref="G593" r:id="rId592" location="_Ar-vVB_fCHG9KmrCxjeKAmR12g8E9q0dR57AbHW7_Q"/>
    <hyperlink ref="G594" r:id="rId593" location="W8oSSkHUgPjzo7w1a4hctSUoGRpzv0KfVhVhXY5rlqc"/>
    <hyperlink ref="G595" r:id="rId594" location="U3xkJT99LTjTkcyBCk33qL3Co90o-irXC3Wy8Ab9z3Y"/>
    <hyperlink ref="G596" r:id="rId595" location="acQnGFPVt8cPxuciOdtEG6q5iy4XFP4c6YcL_z63YeM"/>
    <hyperlink ref="G597" r:id="rId596" location="bXmK5sPMImKUBGKc5frf7-Fj-3zEX96tDSWqlIZHZn4"/>
    <hyperlink ref="G598" r:id="rId597" location="L__HA1bLC8lSl1hYGyEVxLLEz6IseE5V96rUGwGsgTo"/>
    <hyperlink ref="G599" r:id="rId598" location="3zk_CS6oJ_ck8dJp4IgSkUN52c5OTcVfh3ewczRZX48"/>
    <hyperlink ref="G600" r:id="rId599" location="0WSQ_b6zCOTEgbfF9bNkad38Fa2kzYQE_5LGHRnG26A"/>
    <hyperlink ref="G601" r:id="rId600" location="BIHYVt7JX7SSHSs5LcwKeGvL6hrdqOx0-ZMASsPPyVQ"/>
    <hyperlink ref="G602" r:id="rId601" location="71oOiOSml64__vEq23G6L84cXggfyp2SVIPcazBNlrM"/>
    <hyperlink ref="G603" r:id="rId602" location="T4rtVvhx604qBeNbKDhB0qBtlRIUAVfcp6e1c1RX-sQ"/>
    <hyperlink ref="G604" r:id="rId603" location="rFqiG83nr-Anhix_kGmD5rUYv-TVseOrCMnfukzeTJQ"/>
    <hyperlink ref="G605" r:id="rId604" location="vYOECgDRHHVUOOBNaV6FseozKNiY8NQiCExjB9hR9Bs"/>
    <hyperlink ref="G606" r:id="rId605" location="f4IpJ8Q1r3t3NyuVxFIGnzr2JMnYV6iui87kttmzsic"/>
    <hyperlink ref="G607" r:id="rId606" location="UeQ4l87oxSC6KobArKLOdOjVWp4sVQNc7iYvFOAAzEA"/>
    <hyperlink ref="G608" r:id="rId607" location="wsddTW60gHkXxAv_03h4PwrsKJaDVCJ14IqC562LVYs"/>
    <hyperlink ref="G609" r:id="rId608" location="ogHr3pNY94HVCz1TxBqERl1AIlfiPXLIkvrAopSGqZ8"/>
    <hyperlink ref="G610" r:id="rId609" location="0kqTCjGUceqU0XhCTe3GtRbqfOYRdbk0z8HQWIAtz5U"/>
    <hyperlink ref="G611" r:id="rId610" location="RwV16TaHnt0FLVwwkoB3Ed4Nz8M12bkGQtRxDIWN9pA"/>
    <hyperlink ref="G612" r:id="rId611" location="d354pvx0wxxuMK0c-bdSMwllvfdOiu484yP0TFb3_Mg"/>
    <hyperlink ref="G613" r:id="rId612" location="y5fnzipsnbxHE9hHtjJ4wpJyDBwjVX6XtpToT_B3n8Q"/>
    <hyperlink ref="G614" r:id="rId613" location="6gqJOv-VvtDRq47tQOUOj6EfHcnaiGtZKWy9P8j6pFw"/>
    <hyperlink ref="G615" r:id="rId614" location="dpt_FCDAWP4qMlfPz7UM_QuRa3IF6erbLqLA-QvCq8k"/>
    <hyperlink ref="G616" r:id="rId615" location="aH31_REqWFMBe6DVB4JEVF4UCeo0codfjq7QncUAjE0"/>
    <hyperlink ref="G617" r:id="rId616" location="A6SXpkKANxnUzkrswQug3q3HrFaQIlJdyoaQ0G7Vqmk"/>
    <hyperlink ref="G618" r:id="rId617" location="40kZzpJzQoFcfvn6fsrunHDLRCwiuFy-xBYMpoJd-Ns"/>
    <hyperlink ref="G619" r:id="rId618" location="gf0UM_NbcHgjDwAnp3WC6rWuAj-MojrzreunYgQGI9M"/>
    <hyperlink ref="G620" r:id="rId619" location="37bFPbZI2W8uN1AKvAE6juYIgNvnJSihrTU3odW88eI"/>
    <hyperlink ref="G621" r:id="rId620" location="D6hRYO8iKc0HPxHpd1J4A1zwoK8E0pHzHLIef22u7To"/>
    <hyperlink ref="G622" r:id="rId621" location="y58FqObsegJnLckzdhw-5tEWmc-SrjjcqjzyQBBK27s"/>
    <hyperlink ref="G623" r:id="rId622" location="_kHkh_Mc-2OPJfeD6Q7hYfEnZUSlf_VPIjxy0Rb2ow4"/>
    <hyperlink ref="G624" r:id="rId623" location="_BDtwFZWohYzKdCHBeXYv9nfYx8c5O79TTj5hVJliXQ"/>
    <hyperlink ref="G625" r:id="rId624" location="Uevh2SEHkT5P0Hb0n5rBi4c3YMgYnJgDNtww3nHhk5o"/>
    <hyperlink ref="G626" r:id="rId625" location="OMJ5toGWq4vNJHTwovoCUoeHPugAMhLdd4vO9Qx6F8c"/>
    <hyperlink ref="G627" r:id="rId626" location="dtouY5ap6f8eElACv-8aKPjrzI38KDkOp2_kExvc-aQ"/>
    <hyperlink ref="G628" r:id="rId627" location="j6tnXJDOeYhjVd30VZgXk0bxn9EShcpKty9mmcHNq8g"/>
    <hyperlink ref="G629" r:id="rId628" location="PWSPHmu53i52lNDnj2T--WkiIqdO7THcRnNRqzPI4gY"/>
    <hyperlink ref="G630" r:id="rId629" location="JP8F_VC4m8Iz_Ypqd_JnHq_oii0hxcq3ctvQcNPsNuU"/>
    <hyperlink ref="G631" r:id="rId630" location="UfJ0jjyrBKFm3cJIhWAnjKMvmpQdIU62yAuyGfZMn6o"/>
    <hyperlink ref="G632" r:id="rId631" location="U22Aj_GwClWp-VnbfIkpOoau4xUl2h2jfWcgv0yOS5s"/>
    <hyperlink ref="G633" r:id="rId632" location="nm3yGHRFZSA7CqJbuCrrEZgSka7w-pRXY5piUXiLMtA"/>
    <hyperlink ref="G634" r:id="rId633" location="z5Wpsta390jGBKIDt9p-q50-mwhLXt8hjKRLMWMzLEU"/>
    <hyperlink ref="G635" r:id="rId634" location="oNEXTDZYrEQ12P3QanQtDgqYxT3zcr0ZBMXOuS1XzqQ"/>
    <hyperlink ref="G636" r:id="rId635" location="c26Lo8M9wYFGKVVEFvZ1xtJFq1EW1y67b5GHBf2Bnzk"/>
    <hyperlink ref="G637" r:id="rId636" location="P7csmMWznDjJpUjtUqAg-LspPVe70by94XKw88POo6M"/>
    <hyperlink ref="G638" r:id="rId637" location="fGaRNIEmHpOtqIVZdWdkVoXPjouRTxc5viGqhGBoEeA"/>
    <hyperlink ref="G639" r:id="rId638" location="G-figMynpwjxTBYFUZ2imSqPPAjcplqYT20tgRqGcCE"/>
    <hyperlink ref="G640" r:id="rId639" location="bnNs1NLVeMKxnXi_76psfHGk7yd-2GWzdzKbQhMOZGQ"/>
    <hyperlink ref="G641" r:id="rId640" location="e_dwCNNHe6nVndCofDiukKBWKGUgOU7DuiXvvov_UnQ"/>
    <hyperlink ref="G642" r:id="rId641" location="76SPjxi6Dm2iR9dzm_UmyFRUH0v7Bso2rFP5bNtuHf8"/>
    <hyperlink ref="G643" r:id="rId642" location="wfHN8-jbghHiGMQl_w-_LPt-GZmI6iztrAPr7Se609c"/>
    <hyperlink ref="G644" r:id="rId643" location="VK4OE14Y07aIDTb3UJgSkVfdqN_SuI-T-nRF_PbuCDQ"/>
    <hyperlink ref="G645" r:id="rId644" location="AN0iHzz-2OB9F1ftraIjDmiKduiC0QEPOYQXOl1gqqo"/>
    <hyperlink ref="G646" r:id="rId645" location="x8dRI3Rplspqg3qi31bLK2_SjVtXkBisu25_GzImfss"/>
    <hyperlink ref="G647" r:id="rId646" location="1Jyqj-CYvFir0Wu4_4v7QwCK-1b2W1_o4vGmT3U6vTw"/>
    <hyperlink ref="G648" r:id="rId647" location="M5KH7dn9K1sM9CL78BPY2R6cB1ZwDy5dW8Be3rplsh0"/>
    <hyperlink ref="G649" r:id="rId648" location="CmwAaA6mKZ6LMPeKZBWHaF-Dg-sMsvOK7HOxWBy9_W8"/>
    <hyperlink ref="G650" r:id="rId649" location="1IAOOMalRay3zjX0fQN3mUOglMBbCjS6SCYBvLwLZ7s"/>
    <hyperlink ref="G651" r:id="rId650" location="dxB2ytz878DDQ8FTJpGE-hQvJa6UZ8NXSVTZ9sk18-k"/>
    <hyperlink ref="G652" r:id="rId651" location="ugugwjqKNuBi7uHnYCjKhjaKsWyJla6cxRCy_l4DE1k"/>
    <hyperlink ref="G653" r:id="rId652" location="GROyth1PxmoYc19RCK0JR3QJwwR-UVNQmwYFXci0UqQ"/>
    <hyperlink ref="G654" r:id="rId653" location="dOeLSkW6_nTAyKrkPpHouvS2gA3ySaQz6kGMmdHWBhY"/>
    <hyperlink ref="G655" r:id="rId654" location="AP33-f3a2TAnMD-Dtx9IL-1PrP3JlChKOGuaqBaKXyk"/>
    <hyperlink ref="G656" r:id="rId655" location="wb-or-IY785feMfCKuU-3tyGPuqg8wDmfh6vDTZt4ds"/>
    <hyperlink ref="G657" r:id="rId656" location="qHa2AxmnZY8WGWUEyJWAIuaLyHW58jnzy5FbuC42RAg"/>
    <hyperlink ref="G658" r:id="rId657" location="VRXRo8-QBiR9Q5jKMd44irrZKHNZ1XEbkjz7lLIhKH8"/>
    <hyperlink ref="G659" r:id="rId658" location="ne9_fXXqFqh_ZFafyaBfvAg4VqgH2P-921-niS7zruM"/>
    <hyperlink ref="G660" r:id="rId659" location="dXNdb2yG_KIxq8qjQcjIRK_lCI1bU3_IGUEoM33Bsdw"/>
    <hyperlink ref="G661" r:id="rId660" location="NJc34AL_peteDmhMBJAdiQ82Z0yeFtPAdmpsPkXDdBE"/>
    <hyperlink ref="G662" r:id="rId661" location="W6kGXBpdoWVe81Sa5N-tbqCPdq53X6p9B6v6xHNvj3U"/>
    <hyperlink ref="G663" r:id="rId662" location="_ky0o1Na_U-Xs1DKb09K1CTX5HL15mBF84q5D0XSxv4"/>
    <hyperlink ref="G664" r:id="rId663" location="z7ZyEJhMTEREOiQ4sWZ-5BBAZ9vtd_l24FKhcL7oVAY"/>
    <hyperlink ref="G665" r:id="rId664" location="JhLcfd7u5q91i568YDN1YveD06UcjE3xgk99tzpTUxQ"/>
    <hyperlink ref="G666" r:id="rId665" location="IXrcXCX2fZSdd_CxLxAJxEzPrXcUQ4AleUCOIFAX_2c"/>
    <hyperlink ref="G667" r:id="rId666" location="3a_fvHjHDwJtW9-7BIiR38cuIRRGU9WKp9ixPCzE6zk"/>
    <hyperlink ref="G668" r:id="rId667" location="DVLv47g_z3Af7TAEp-az-cVvT931P6t58K5ArSH3m8s"/>
    <hyperlink ref="G669" r:id="rId668" location="WUZNcWbQCSPRVCy-7qkqp9ksYYZxGuBYc5fFlJtEObE"/>
    <hyperlink ref="G670" r:id="rId669" location="hHk17RPjuieyKnUjLeyAfASo2VlK2QKTHf6HOIBH1ko"/>
    <hyperlink ref="G671" r:id="rId670" location="g1EY01sK2imsei-Ig1kWSDn8-hpTKCTxtTuNHHa7gv0"/>
    <hyperlink ref="G672" r:id="rId671" location="6Aq6mSqizQ_Xw2YRlbslA0CoqKmJCnYawx3f2XD775Y"/>
    <hyperlink ref="G673" r:id="rId672" location="hgNIdgjxZ2zxWuOBl3p-2WWXGJOspvzvhe1SGdM4BEQ"/>
    <hyperlink ref="G674" r:id="rId673" location="M7xDTxzkLFzyX6JuQ4gz3oRXHOAnIEvJRZzYicMYxvk"/>
    <hyperlink ref="G675" r:id="rId674" location="Dkmyw-Swe4Mr8bQ3mQMlQlj7Qo7ostFVxfbZ4H5tXKk"/>
    <hyperlink ref="G676" r:id="rId675" location="h303rCc8SRhcz9fuKHGnMMfKPC0a00-To51ReOzqDz8"/>
    <hyperlink ref="G677" r:id="rId676" location="iETS9OvYFr4ur-CXkT7dGfnSDTkFkM0L-RZMUOteH4Q"/>
    <hyperlink ref="G678" r:id="rId677" location="NmcQb-FTlfU1BBQTd-kpbenp3wofubwvaMq5zuwppg0"/>
    <hyperlink ref="G679" r:id="rId678" location="8Y2ymMFveaMz5QlrtU6Rh-kwa-wYzIcrZvdj6M6zz-E"/>
    <hyperlink ref="G680" r:id="rId679" location="5WREO2KkqiFfdnSyKzUd7vEyzQ83kvyRjRX_72dfbmw"/>
    <hyperlink ref="G681" r:id="rId680" location="oQyMlZWHFAXcolNuAvA5mxqQXUTRb3jVE1G9xMKf8Vg"/>
    <hyperlink ref="G682" r:id="rId681" location="ygo8B0Yox2twmzpM-7mTpeMZ7rmIyt93diTyz-yyRY0"/>
    <hyperlink ref="G683" r:id="rId682" location="zODvwRj_Ic9WrbXbftEza7K_jzqzrRYsiQvzCBL-azU"/>
    <hyperlink ref="G684" r:id="rId683" location="vsDinoJuB1tpxLOVOp-5ENPWyBYaYMChK23MijwVTTs"/>
    <hyperlink ref="G685" r:id="rId684" location="j7F7NcFFN4k9-xbKuXBHoeeXJ-GioPp81G7ZVp88vuA"/>
    <hyperlink ref="G686" r:id="rId685" location="Mn8KQdibj5u-9xwABmv439dLrjwQZLhCDpI--at2BIs"/>
    <hyperlink ref="G687" r:id="rId686" location="JJgBiN3CZtNftqs_pY8-LNIqdolsuQYfW-FfQ_ClcuY"/>
    <hyperlink ref="G688" r:id="rId687" location="O9S7zAHH-F_pr91DHEstZRol9RXCyXgBzLyaMBYFS5Q"/>
    <hyperlink ref="G689" r:id="rId688" location="LwoKPWyqPUoBq4DZbOuVrhAjXS_k2V0w7IblVHsovSQ"/>
    <hyperlink ref="G690" r:id="rId689" location="BaBMLGxbE0X7bYFIycy5HzILQXGqWnDoF3L33QvR9sc"/>
    <hyperlink ref="G691" r:id="rId690" location="Mmz9_6ZyVMSuCju6BvH1bSFwZpH2Ct7eD_kAfO40_qw"/>
    <hyperlink ref="G692" r:id="rId691" location="d_LfjXNpjNBbktlvjml61V_Naf17E9RiK_OBsIJtmic"/>
    <hyperlink ref="G693" r:id="rId692" location="CRcFnToANKYhvakwTCmuLlUtvGGvdMd4m2Xk9AvRESE"/>
    <hyperlink ref="G694" r:id="rId693" location="XBv4GnPnCX5RZqbPw6o2jMM0MZKJnk6tPtIwuk-qAoo"/>
    <hyperlink ref="G695" r:id="rId694" location="hpmJxm948NrDqh6LQ4crJD_qkc7gxc5Ocnyn5rYQjHo"/>
    <hyperlink ref="G696" r:id="rId695" location="_Mq5j8EwMsav_PpV5v-YjjO8xXA47GnPnNqfA7mW8as"/>
    <hyperlink ref="G697" r:id="rId696" location="RG-P-PBaAQZWZFVNnH9eMASaBLTIHffWsdx-SbhSB9g"/>
    <hyperlink ref="G698" r:id="rId697" location="BnPhRwHl61azIG8kxWqlnJryKvsU6YmpIp-UUzN40sU"/>
    <hyperlink ref="G699" r:id="rId698" location="niJJUphypZuKn04_UTDLeVzI4rmHwKRu6HzjQ70KetM"/>
    <hyperlink ref="G700" r:id="rId699" location="68xVuZ6649HAQC9YTN9ZbrhK8hVu1kHI2J7q1St5Bqs"/>
    <hyperlink ref="G701" r:id="rId700" location="9A-gEpNdRrpYKAzc1vAbz0zEY8K9IzevQtekqPQ3Lfs"/>
    <hyperlink ref="G702" r:id="rId701" location="QYYUZ01PH5jXTN0F46Rm4bVROpHaQQ3K_Xffxvm8RQQ"/>
    <hyperlink ref="G703" r:id="rId702" location="-T0WWkWN-xbKNzjdOz7opVoNb8TtS98pyhpMv_IZigc"/>
    <hyperlink ref="G704" r:id="rId703" location="_VzPnULlBNnW4TSHezDYahi41cAeMNPyCUvF0FP2__8"/>
    <hyperlink ref="G705" r:id="rId704" location="qu5-9L42jbQTqy5SHvvNLC2On90uchC9C4vpXCAViJY"/>
    <hyperlink ref="G706" r:id="rId705" location="q83tBmE_WI4Kie_lDhjSZtnvmdoLG136XQ38IvXzZY8"/>
    <hyperlink ref="G707" r:id="rId706" location="10pyeIq_CncVYzAEMs2U821HA3DXQy9JifSEvsdJ2Qs"/>
    <hyperlink ref="G708" r:id="rId707" location="doEIc3s59CpzOgAOOtWjs3Ehbjc6YaNjjBSu9uUA7bk"/>
    <hyperlink ref="G709" r:id="rId708" location="VJEG9l_IfPh55xP9vzOnE1XonhH1e5u__MPvkz6tXGc"/>
    <hyperlink ref="G710" r:id="rId709" location="W_u25oYM4QqFlmGKOrVEsqPugFgcL9-x8iCkjVgBYOk"/>
    <hyperlink ref="G711" r:id="rId710" location="Cr2QyHaWk963rV8jBgHJfNT3e90boxziqSBTNg4EGUc"/>
    <hyperlink ref="G712" r:id="rId711" location="MsNiu-piEmGpw0L_bP0CDbrGCf1Q_sSG1Bc56gm7xKU"/>
    <hyperlink ref="G713" r:id="rId712" location="zKOdEst2oSEpOUUdnuuhi92MTj59zsCdISwI7z9eTXQ"/>
    <hyperlink ref="G714" r:id="rId713" location="r9Ny8hCCCCwZUK6jeneiS9wKbzWFmVjEP_fBHYO1SNs"/>
    <hyperlink ref="G715" r:id="rId714" location="QgfIAYZIa15ePWoo0zRvFiivmuclflIl3sl1BtEbPZI"/>
    <hyperlink ref="G716" r:id="rId715" location="hbE-KLqL5jxWHIN2TlxFhUh4RxyjiCnzouZf97CK_rQ"/>
    <hyperlink ref="G717" r:id="rId716" location="WEVzg1Y7KogxPJCraZ9znAdprl6yZLJK3W59Ei_pjcU"/>
    <hyperlink ref="G718" r:id="rId717" location="Vbrf2awiOYL4u6ROx-l1h15dFWYm1MbiYkFnhypj9UI"/>
    <hyperlink ref="G719" r:id="rId718" location="YCA3gbw_7zZSmyCe7a3dzYXjO8c-3VZzn7JA5q7tQIU"/>
    <hyperlink ref="G720" r:id="rId719" location="XtoWo-HgG2SjYofSzwfMtkFU2MjsPQjhBIIG8r3fjMk"/>
    <hyperlink ref="G721" r:id="rId720" location="ri8aEwaCNHXWQ_kOjaNaaMggyGYc3VIkIrxnUzq4FRQ"/>
    <hyperlink ref="G722" r:id="rId721" location="jK97CNoQkQyu_1qGrOfYXjtxOP8KYLSKNHqwWMYYYPw"/>
    <hyperlink ref="G723" r:id="rId722" location="Eqi5ycXwelwmTFwuUiXPp6E35NgW5XNMe7E2_suo2k8"/>
    <hyperlink ref="G724" r:id="rId723" location="8CmtRkzoVEeX9JxSfda5PRUw4CK1ZupQdNUxqycF3kU"/>
    <hyperlink ref="G725" r:id="rId724" location="IWq8g85UWf_-0t-HI90dNT-nbw54BaAX5z49zYm9vb8"/>
    <hyperlink ref="G726" r:id="rId725" location="d38Ke4izhbHMAhCGvcZ6XiTVgFjL5v9jZPVKqgtZPhU"/>
    <hyperlink ref="G727" r:id="rId726" location="AY8OxdceGpq7PQwYyH4-2YbW3TIRh5zYZWjPX4H7NsM"/>
    <hyperlink ref="G728" r:id="rId727" location="PbZxUpYOH6qNXU7entjDTOyCAmY6loTZgncSgJv_zP0"/>
    <hyperlink ref="G729" r:id="rId728" location="vk_RrGxdC9n_qaqOY1NqghJpYZKHGk4Dqdg5igPgUd0"/>
    <hyperlink ref="G730" r:id="rId729" location="UazqCQWVpfHS4iiwBeQZAYX2PPZhxMliw3X4tmd0hfs"/>
    <hyperlink ref="G731" r:id="rId730" location="HW-QyfEkdbYkd5TWs8X353YJKrB4L6hJpks3xX8Ehts"/>
    <hyperlink ref="G732" r:id="rId731" location="yxGCpE7LozCouBvlkVO7lsVd-qSIDkpyGKkIkOKk-FQ"/>
    <hyperlink ref="G733" r:id="rId732" location="QrEWltK8IxAY6I-4lU2XP7CW-x_x5CHixNEHnpmn4sc"/>
    <hyperlink ref="G734" r:id="rId733" location="lPoGhe9eyM0P1_KYWu7TNP4iodIWAwXRemeZen9guEQ"/>
    <hyperlink ref="G735" r:id="rId734" location="g6eU9R5bvbvWB6WRx5GnKRVpLZJ_-66TCDze9mIMcJs"/>
    <hyperlink ref="G736" r:id="rId735" location="Z1y7oqIjjU_rxuZUkzFnxu5dWJgTvSSvgXsvGJ7OCb0"/>
    <hyperlink ref="G737" r:id="rId736" location="Wo9aCowVWHgspvlYBswZUDS9UOVdUr6aNbyMagL9yz8"/>
    <hyperlink ref="G738" r:id="rId737" location="SHj2JY-Rkg4_MK7WkbJBxkSR6Hcxqyt4w_cPsVQeJcc"/>
    <hyperlink ref="G739" r:id="rId738" location="Ctp5i41KQVJLObJ8oZ8YDj_lCe1h5Y-AAIlyo7yUS1I"/>
    <hyperlink ref="G740" r:id="rId739" location="HL-_nnEivlTJ8kQyfRFErUzOIAr59XeqZi8x-xnsG1w"/>
    <hyperlink ref="G741" r:id="rId740" location="FZvPMBS6irwN_YIduHFcm9CRckcGqt0IuM4EIYRl0SU"/>
    <hyperlink ref="G742" r:id="rId741" location="hjmdVZq0E_YJxdihZ8n8ZctkFBnC-MMfzmaO63W1XtU"/>
    <hyperlink ref="G743" r:id="rId742" location="nhFf90xAqcxMc2i_9UTadI24XBJVThbinyLk85rcMss"/>
    <hyperlink ref="G744" r:id="rId743" location="byfHbgIICmsoR4YvZHLzetJQgU7eotYcaZhhJp0gO9Y"/>
    <hyperlink ref="G745" r:id="rId744" location="9AEWKNIk5-gr0MhEAuYD0G0gj6hhlgOyGUaK_ON3Iqs"/>
    <hyperlink ref="G746" r:id="rId745" location="fsPbwL4JBYbVD280BCkpO7Di5pgj7AGnq_PerPXUjdc"/>
    <hyperlink ref="G747" r:id="rId746" location="pAXRjCmgA3SqM093LS7b_XXFTNfT4ux40xKrAqhgw74"/>
    <hyperlink ref="G748" r:id="rId747" location="vdLIrSDO6IqIn_wLIjQ5FDOb2IIZaWn0W7zKiiuMyc8"/>
    <hyperlink ref="G749" r:id="rId748" location="PW1T2HIGlwR5UfXYncmTq2H9uR2n2re6QcOhO-7LNBI"/>
    <hyperlink ref="G750" r:id="rId749" location="HKxjTMzDIY3GMdyhFRL131kE7mfNtiHseT3ztesJ7wI"/>
    <hyperlink ref="G751" r:id="rId750" location="IeSxXOylH-LV_Bkz5QKbXxEEOU0647A2Qk1zHPi_haQ"/>
    <hyperlink ref="G752" r:id="rId751" location="L8FEbTB4D4aBTQx5fkrOadFrsWZx4ldCX8a2G6OrBSk"/>
    <hyperlink ref="G753" r:id="rId752" location="PQD0OkkjB8bQHYMa7Jeb8JaDXw-BRkXE5n6UTwHo5Pc"/>
    <hyperlink ref="G754" r:id="rId753" location="F4jvtJd3nGlAUCRaCFVqkAHZnT0rFuJOiCKFmU3Uzcg"/>
    <hyperlink ref="G755" r:id="rId754" location="x7nXbmH0wERUhVijJhR4ZUuJdvq-sj_TRyGwfcjud7M"/>
    <hyperlink ref="G756" r:id="rId755" location="nTmAxWXXnaki9GOUtOT2QXC-sKjHta3yv0yXMQW4Tco"/>
    <hyperlink ref="G757" r:id="rId756" location="vO3Quw88ENoJ7OUKS780rGPYjOKjOGNx2UfoEvYArQI"/>
    <hyperlink ref="G758" r:id="rId757" location="EjlEQ2JbViYcTbz52wrMJOyA3vsR6WfRJNRjgE21-9s"/>
    <hyperlink ref="G759" r:id="rId758" location="4eaqHd7ILgBmb-HxBDkuxZZKmFhu0Vp6lSRpg1dDqh4"/>
    <hyperlink ref="G760" r:id="rId759" location="xrxImJFxSGr_g6NnDSb3xY2X6_xnblIKTZR967AHCAU"/>
    <hyperlink ref="G761" r:id="rId760" location="okd_eH9ILYChlrvaGK5N2mjuGmr1v7B4lKsyH95qI8o"/>
    <hyperlink ref="G762" r:id="rId761" location="1qtGEtfjZVotukwuDLP91iYScxFDe_vxClx0ShDRZ5I"/>
    <hyperlink ref="G763" r:id="rId762" location="HX9yko4wLKAHquEp9Zj48ZyGjPZ6akWHogEnhG-96Gk"/>
    <hyperlink ref="G764" r:id="rId763" location="zLm8GPVjBUydON5LU9750PBxxU3MN-x_aJaG-eYipHQ"/>
    <hyperlink ref="G765" r:id="rId764" location="cxtTHGl7qAOdQ1goshIrHZb485ZNQh2j5jcJ6Cd4hhc"/>
    <hyperlink ref="G766" r:id="rId765" location="uW4jdfMlMy9Q_jt6eNIBl1vFH8IF69Wq5uptaBvF5aE"/>
    <hyperlink ref="G767" r:id="rId766" location="LSko769m3N4GpPeeJ_b42k90nF3rRXPTYppsCZWJ4mk"/>
    <hyperlink ref="G768" r:id="rId767" location="o-UHT97xqSMt6V_N2_huTFlvJFyCB13cOJfUV_ixlc4"/>
    <hyperlink ref="G769" r:id="rId768" location="v1eDMy4rQEnRAp9MBT679XuaBFWpZkTvrsowSH28Aqk"/>
    <hyperlink ref="G770" r:id="rId769" location="5JZqj7Qojh3R9ClWqcVQNTYN1JbA5hj4w-FI6oTNGZk"/>
    <hyperlink ref="G771" r:id="rId770" location="Q63uGLh52wnkJ-TGeyJCFTsZ1a8t-k3Xgk0PSYcDDdQ"/>
    <hyperlink ref="G772" r:id="rId771" location="dBURaRpWnPcmhsmYgBJ6-sLgxlPn1kbcs2aOPefU6zc"/>
    <hyperlink ref="G773" r:id="rId772" location="ucIIwu1Rn-ZGyaTZomRsdulYWyEDSrVLYiLowHOOMVY"/>
    <hyperlink ref="G774" r:id="rId773" location="-NYzMuCw9se7dvjGlcKiCrxAxuFpDtnV8VemZlNqjIc"/>
    <hyperlink ref="G775" r:id="rId774" location="Cr13DWEn-zPA_mMvS37iSWL9hc_gzR9eH-gkE0WZeAU"/>
    <hyperlink ref="G776" r:id="rId775" location="ePXgrBIRzCDeoBUIfFdG7xoQG3aDlXfCfp_tJo_nSnE"/>
    <hyperlink ref="G777" r:id="rId776" location="kJrP-aKuwkVDIl_1wycKSoGE5rdavL552EFE675_cm0"/>
    <hyperlink ref="G778" r:id="rId777" location="H58KYIRWUr7iKhhnq6_X0oSxm2Lbf6m3dGsxOWfmWFk"/>
    <hyperlink ref="G779" r:id="rId778" location="PyR38zO5IVCqaHVhENdDfTjoCkA-VRP6YZ5wV7-wHUk"/>
    <hyperlink ref="G780" r:id="rId779" location="QxC0Gyy-XzG-Cq790x-SPyDZFTEJKJuwg5XL2or4gpI"/>
    <hyperlink ref="G781" r:id="rId780" location="ogMjBDEnr5C7yr_bDr8veCCyxcYxX46j3pLO-FUyUkw"/>
    <hyperlink ref="G782" r:id="rId781" location="PK3V0U-S7_MsYh8kP216gUfttDhjLSCRsNIzaiD8ht4"/>
    <hyperlink ref="G783" r:id="rId782" location="7YPXSXhhG4qfHE6xDgsYxOSH7IrF1BNgGNQlB-DkEzo"/>
    <hyperlink ref="G784" r:id="rId783" location="FMhGd0wLm1x7ZLaUzrw5NKETN9j8lOYSSTXE2l95dEg"/>
    <hyperlink ref="G785" r:id="rId784" location="nkYiQmhW2uGf1Q49uQWuFz0ZvpQPD5tDHyMoQk0dRxM"/>
    <hyperlink ref="G786" r:id="rId785" location="Qlul1KkznU5rBPAC8N2MCs5BIy_YY1-1HWau83-dfaY"/>
    <hyperlink ref="G787" r:id="rId786" location="FypbZOFiQ5FZaxsPCbUJWMtr1Xq7-K_Jnle1AHhxdEU"/>
    <hyperlink ref="G788" r:id="rId787" location="cx3cJpYyAuIsw-0JufxLWcI0t2uU4j7MOf2XpYWrodQ"/>
    <hyperlink ref="G789" r:id="rId788" location="6F7QtQts1q3C2rhwT_Oo2oD4Y7E9BFea3h56KvdB2GU"/>
    <hyperlink ref="G790" r:id="rId789" location="zxCQZiVm07bd8jI3aTrfmU06NQsJLcQOl2ZhYP3VVt4"/>
    <hyperlink ref="G791" r:id="rId790" location="EinWtDRjRzGHulOoBspMbU8qyUHecAWKzQ32wtuoJyo"/>
    <hyperlink ref="G792" r:id="rId791" location="Bthuq7NjBN23KzPKS7ftstJFCZh7tcVV1GGSaWXi2B4"/>
    <hyperlink ref="G793" r:id="rId792" location="pFGYxjmsLBojeEbIKcuQ8n3WfirCoXad0xD7MciMhzo"/>
    <hyperlink ref="G794" r:id="rId793" location="vxIgpXXfW6xQFxPbDrPqX3HHd4T4GYAbaYhwNcuW_V0"/>
    <hyperlink ref="G795" r:id="rId794" location="KUBJc6haYlQ2PUMif43OUVNXBHTZk9IYANLd40PRtZQ"/>
    <hyperlink ref="G796" r:id="rId795" location="2_s0HO9WTCzybbdPnN8jTiCOwp7JSwTr8P6eftICVu0"/>
    <hyperlink ref="G797" r:id="rId796" location="2_3qfs2mGHJB750KZaR2v5Z-29mjqOlb-loHhho1ESI"/>
    <hyperlink ref="G798" r:id="rId797" location="37zugjzD-2IELMMx6QsGp5O-f6gL3K9i-AtuAEU0qFg"/>
    <hyperlink ref="G799" r:id="rId798" location="HWzpdsZr2BFQef5ThpB-zkv78JYl9u0VY2FjhR4TZGM"/>
    <hyperlink ref="G800" r:id="rId799" location="IvZC2ssolfL2x9ZdB4QoRNbymiQJgcQrZsNhhScim9c"/>
    <hyperlink ref="G801" r:id="rId800" location="ME_PnC87ALCGLY8UHKWX2GT4zQmgB8BCO6oFJ81SOyo"/>
    <hyperlink ref="G802" r:id="rId801" location="ev54D7j9MAPJX7XPpEkgJPj2Nu1hvHdQitExk1tLQog"/>
    <hyperlink ref="G803" r:id="rId802" location="ZIErsVDAsUnPxYHoTSSLRoakogSxsGBmRgGbsbeu9H0"/>
    <hyperlink ref="G804" r:id="rId803" location="YI2xdhhTJhPIKYAkzygu4KW9Qb3pwe00ymFDtPZbHrQ"/>
    <hyperlink ref="G805" r:id="rId804" location="9fk24t_L9xId94ypf8IRFf5ZnvUQ4sTv-i8WyXid-mQ"/>
    <hyperlink ref="G806" r:id="rId805" location="B5yVEc4ixMUe1Y-cJVSQXOWkUXB0mnxEz0-suApc8rU"/>
    <hyperlink ref="G807" r:id="rId806" location="yAYkpcF_HUu9ezI86R3szVZpKhGYpUsFbSVL-NqXZEY"/>
    <hyperlink ref="G808" r:id="rId807" location="ZpdEUQpqmKeh8erhfXqOxjLXsPIoKxzCnYnwJrzRWcI"/>
    <hyperlink ref="G809" r:id="rId808" location="mmMq_oLUDWYcDSXVfkpFxgUocktEQNRF3ZYQ3PiVtag"/>
    <hyperlink ref="G810" r:id="rId809" location="yFlf5R14rj7sWYa9EJyi2HmisAfQFKOwjBe37raSUJc"/>
    <hyperlink ref="G811" r:id="rId810" location="Yop27Gmu1e8L4j57XPnCeowqGhCo-sNU8TeOVRhdOvQ"/>
    <hyperlink ref="G812" r:id="rId811" location="vVQtow5uslCT8Dax7BIuMtK3rvzm6RQQ12JYVtwqoWQ"/>
    <hyperlink ref="G813" r:id="rId812" location="hgSBCM8nMm9ZifNb5NHbhok022LBAFTis9OqRnZ-BiY"/>
    <hyperlink ref="G814" r:id="rId813" location="9F6fnAie_BdfwKJkCrIcuoKG4KyC4s2Fq_tHRwqIjnk"/>
    <hyperlink ref="G815" r:id="rId814" location="Ck1iCYrZdmqtRvuhRpbNq98_buEJkAVIU_lJHqzH3iA"/>
    <hyperlink ref="G816" r:id="rId815" location="B7KOmMScSGe2KU98ywsEE7tsLwMyaFh7FFbXvqZdv4c"/>
    <hyperlink ref="G817" r:id="rId816" location="ggd9tE3mFey38CdnKaWySi7LByEDGk78U2oQISpra3w"/>
    <hyperlink ref="G818" r:id="rId817" location="YPZY5aFXFWYwbUkJPfl3nAyXv0lpp0seQByLadyoC98"/>
    <hyperlink ref="G819" r:id="rId818" location="XB3IM1YPWfl4VIXbKUYx0u-q5itpxjpdvvVVLZ5EojQ"/>
    <hyperlink ref="G820" r:id="rId819" location="KHzzZyBsgWVa6Hm1VTmgBhQTi6yfAkua493EZEJb65g"/>
    <hyperlink ref="G821" r:id="rId820" location="aY0caQBZbs3n-rlVajMTjjeAjWz4tIfzOdbuaaC3Y-c"/>
    <hyperlink ref="G822" r:id="rId821" location="TD1utf9noPJatNlL-xYjmZmDVyoQEVg2IAgLAZzQf7Y"/>
    <hyperlink ref="G823" r:id="rId822" location="4vaYmcKW84xsxplkn0UnFlgWarPxG56ebzWd3GFRfwU"/>
    <hyperlink ref="G824" r:id="rId823" location="b1fkYHRtCy5-92_LO26RYojg1es6Ma4tyuSUys-elec"/>
    <hyperlink ref="G825" r:id="rId824" location="Aojf4YM1faQXJq361ZE1F7WSAO7cnclQ7DB-SYR4G3k"/>
    <hyperlink ref="G826" r:id="rId825" location="UQWinOrrl7niyZYbDJIPB3QAkddN14ABU5ABApr2U9U"/>
    <hyperlink ref="G827" r:id="rId826" location="ZS0h4MSXp3bExpScey8oN6qM0bNxA0zvOelVDaLatCE"/>
    <hyperlink ref="G828" r:id="rId827" location="_DXWTL795ommonPegGPlFNmFa0eIQ6BBe7B8PYzsFl8"/>
    <hyperlink ref="G829" r:id="rId828" location="Tw2uXicWeBeGQNDWrFqL2QtNsaGMQ_EEPB31rfeUINc"/>
    <hyperlink ref="G830" r:id="rId829" location="jrsosxj6V_pnUB7St4Ds2vne3PUU1SqQXFTtiSi3NgQ"/>
    <hyperlink ref="G831" r:id="rId830" location="BI_gxq4270Rt4noi_g9pRQWsl9ChNhzzxWTkogIe7tg"/>
    <hyperlink ref="G832" r:id="rId831" location="Qh5iurnglncUJEbJRJavQ_iVf1N5oZtIHdkwGuQBMoo"/>
    <hyperlink ref="G833" r:id="rId832" location="q6sGLaKu6VAKHP6MhseNSkV70Sz4pKKHrC136nv94is"/>
    <hyperlink ref="G834" r:id="rId833" location="kZPitsREgYlwiPqk-oCj_Pim29feXRL9UE45awd8L9g"/>
    <hyperlink ref="G835" r:id="rId834" location="6IV81X6jqGDgZpD4Ky3UhZezh3MyWyz46aINEGh2I6c"/>
    <hyperlink ref="G836" r:id="rId835" location="0Y28EGjd61KAXmb3wllXM2jLb52jPc-YCOiRDg7q2pE"/>
    <hyperlink ref="G837" r:id="rId836" location="hygrNLwINhfaE-qZIxhBYZTZXE-CRr0FZ7YHG413JRY"/>
    <hyperlink ref="G838" r:id="rId837" location="RnbziKCgM-EI489pf4pYQiLmObqPD5wtXnPzEZAHbxI"/>
    <hyperlink ref="G839" r:id="rId838" location="UUJsYRK5Eg2DlVlUIXV5EnZuv2DGCn1YUnvP_JLxlOM"/>
    <hyperlink ref="G840" r:id="rId839" location="dDaFJ2DNr7bvHKwPgJraDt2D9udKi64BNqv1zsatpWA"/>
    <hyperlink ref="G841" r:id="rId840" location="g8T_heS4PElrYAY-hISoS7lyWOdV0bcvRykYqXePaDU"/>
    <hyperlink ref="G842" r:id="rId841" location="M0lQ4fTnbjyQQWh2zSol_5_w4EnJs8rbH68evEzU9AY"/>
    <hyperlink ref="G843" r:id="rId842" location="Iz9d5YcVDwy1JpV8EsdBiHfaQf2gFN9NPwuSiLM1AII"/>
    <hyperlink ref="G844" r:id="rId843" location="vDSHOffKahJ9LU8jYIS9MMtQW-vmo64ItxZ-0Y67bA8"/>
    <hyperlink ref="G845" r:id="rId844" location="YNOAwy0VOQBWLP0ufQTHgmxWXTRa0MclHoVUaZIV070"/>
    <hyperlink ref="G846" r:id="rId845" location="7OV2bB-nBjXW86MOJjI3B3MbZX8sJ2HLtiIt4I0jCPY"/>
    <hyperlink ref="G847" r:id="rId846" location="LUTtBprvQ7Y_8axQfowqPfu7Yl8QImZ_bTi9W1Zi-Z8"/>
    <hyperlink ref="G848" r:id="rId847" location="FfaoY2CLKeCLDJDt6hr_wVYtplDTCmA-Vw8AbhFOK_o"/>
    <hyperlink ref="G849" r:id="rId848" location="jVa_su65Rd0rkz32VYcPBeQFEszajHHSlXJJJAJRZK4"/>
    <hyperlink ref="G850" r:id="rId849" location="0duD8hozmgwrj6br_nsTrCs9cbaZmLVdabE3Mq2EVuc"/>
    <hyperlink ref="G851" r:id="rId850" location="dlZfrjf-_6VacdVp7qtPK4F12NgCXGCWvRdeeqO1rsA"/>
    <hyperlink ref="G852" r:id="rId851" location="8Qmx5chUBW59SoqHZBld0jS2pOBSEY1S6yxzQCz6pPw"/>
    <hyperlink ref="G853" r:id="rId852" location="fcwdpDJTyJr1aUnmpa9Z8HvtlDzBna1cQykSSMV6s80"/>
    <hyperlink ref="G854" r:id="rId853" location="DqdzoM4eS4KloR4LwhrlUGP_h3bsUOVzhWMnf8CbI_U"/>
    <hyperlink ref="G855" r:id="rId854" location="vcXgaC_YKUfx65dL1r2GLWEGNsN3m_T8A2ru0xbpNac"/>
    <hyperlink ref="G856" r:id="rId855" location="peWSRMXSxSA4yp8mo-rT5iju-Mv5ny4BHo0xWUq5mRQ"/>
    <hyperlink ref="G857" r:id="rId856" location="xAggTfUJWytFtgZr-e6rw4lYCGM8DsEI00HQvn2ZVJ0"/>
    <hyperlink ref="G858" r:id="rId857" location="r21DWRie8OpZgkKlTTwvQ-lISPsG5yq6hd-rvau1DMM"/>
    <hyperlink ref="G859" r:id="rId858" location="lhvtv95fYg_ZTiDGmG0F5S1kn3-Cz0iUdKaxgOD-kkc"/>
    <hyperlink ref="G860" r:id="rId859" location="lxPrAvYWDSOjI5LV23daC3WOi4vjPfjNcdNCBe_NL6Y"/>
    <hyperlink ref="G861" r:id="rId860" location="f-IX8afDj87EtOUrxjuwnMEzBA737C8_OIkKsvv0HJM"/>
    <hyperlink ref="G862" r:id="rId861" location="ykmJCO6988xNzdHOkk8vdOiyRE0Mf3kACIWtVJEwsHE"/>
    <hyperlink ref="G863" r:id="rId862" location="MIfA1qvjf_8EWhePhjf2tVKs3sHdSTFkMEW1JJO3ocs"/>
    <hyperlink ref="G864" r:id="rId863" location="sIyuLQSTHhCaMdcxysdFthEXr1bOlI1vJLKuqOHg-eU"/>
    <hyperlink ref="G865" r:id="rId864" location="GB5pXfsIKdQRev-el5xKk3yOPf7N5sWNHykzzFX_N7c"/>
    <hyperlink ref="G866" r:id="rId865" location="H-OwlfIk0-F8HK1wEzn4HQGxrG80jTdwTqDM7py_CFc"/>
    <hyperlink ref="G867" r:id="rId866" location="GFGyFFYZzZvvukMk7A9MBxLlicDWWPJVYj4mm4zwi6Y"/>
    <hyperlink ref="G868" r:id="rId867" location="8Q0kLZ6cgQw49AMSmzPACMcNbo2B7yHaJ-XIe0OqwmU"/>
    <hyperlink ref="G869" r:id="rId868" location="t_bvyaBaGAlrSIWizkGJjeHdeXiW-tT4X77b1e2uHCg"/>
    <hyperlink ref="G870" r:id="rId869" location="ZbjXNCBEGNWjqOuY70e4YyVidTCPxcinPi1e1r1U9kw"/>
    <hyperlink ref="G871" r:id="rId870" location="SwhfF-52w59vM2n7I-p5HgD-So-qaWWYMrcKkQH9YTg"/>
    <hyperlink ref="G872" r:id="rId871" location="B1hEK17ixjI6Jw4TJkghor-b3yZmRKvaG_vaGK_NG4Y"/>
    <hyperlink ref="G873" r:id="rId872" location="4IMJBkNcqwnjE5NJKsaHe1_SZlTMO7phAaGTTKjrDW0"/>
    <hyperlink ref="G874" r:id="rId873" location="oCdzlvWLbJFmQr_QFhZxjKlCSEcAq2soYp7Ef2Xn7W8"/>
    <hyperlink ref="G875" r:id="rId874" location="TkNJHHeO-t8AyfPJUtRr7PECcnjTgD7FD-S291aboJo"/>
    <hyperlink ref="G876" r:id="rId875" location="dNoDARDyTcTsPlIC3XM_J70ZKoO01_fOxR156JNFi0s"/>
    <hyperlink ref="G877" r:id="rId876" location="SabPbc7baMxg6AiloEvzdNplLzlsoWlncp5M2BVxrGE"/>
    <hyperlink ref="G878" r:id="rId877" location="CUZXKrvtznAHbEYAawdzTSxEWXCFgdwnOXfN8h0FaNc"/>
    <hyperlink ref="G879" r:id="rId878" location="4rTWZS5xV_0K-4jU1qpN9FaJK2qV6VR-XB4p34FO1Fk"/>
    <hyperlink ref="G880" r:id="rId879" location="1xDTskNZY9zsexwnvgw2Uh5ottDdLKnv9QBfOSTXNC4"/>
    <hyperlink ref="G881" r:id="rId880" location="FxgyIikzWgMATNOVK0VtXy4qo49_lVq6ypTSqmAaiko"/>
    <hyperlink ref="G882" r:id="rId881" location="3rFouJDzwxaOTlNansHf1O0XqZS-2P9hlCbDqqnbyww"/>
    <hyperlink ref="G883" r:id="rId882" location="6ymV9Wsk9jq7g4uCrteQBy2klcKRn2yiCr6l_HW_hUs"/>
    <hyperlink ref="G884" r:id="rId883" location="Vg9PJwMERB0B0IJgnJrIMKjhMgIcgMC1Vea2FNprgis"/>
    <hyperlink ref="G885" r:id="rId884" location="alno3Qr7D9H57yiEXz4NmWYxhO4rDcDqTTHiIGDjsxc"/>
    <hyperlink ref="G886" r:id="rId885" location="RJLnSPiOk-kYNdDe0WYf9HMaCsW9TXBPd-tz2_iDx4Q"/>
    <hyperlink ref="G887" r:id="rId886" location="2n_-aKXUVQtpaHaRKAe7JtvPztr0S_g_aW6KoPEd5zI"/>
    <hyperlink ref="G888" r:id="rId887" location="WdNNo_v_s0sev41Jwq5PrMOVKjQZnK4xpV2N9JaNFYA"/>
    <hyperlink ref="G889" r:id="rId888" location="YK9JMz840VqvrKa72ptJlElhXtFTH0t-JyFYeRn8WQ4"/>
    <hyperlink ref="G890" r:id="rId889" location="E9bupVP7KgozAkmsHLIJ9OCWfyvPUO2cIzyeSgE845Q"/>
    <hyperlink ref="G891" r:id="rId890" location="jZTVXvS27BAgurbl2p_Ga3juL0P3iq5irUBPwzxLhmk"/>
    <hyperlink ref="G892" r:id="rId891" location="o0BWzd4J2c2O-rCEZta_mt76tUKyXVX5TGIRpBWBUdM"/>
    <hyperlink ref="G893" r:id="rId892" location="t6zJgzztwoU_rLNAJsbWSbeG0lXLq1TPhzCqav5mGiw"/>
    <hyperlink ref="G894" r:id="rId893" location="kyUTMAPL0ie1eBhSd_PNra8Mf5bnFL2YJQhtvHS2c-k"/>
    <hyperlink ref="G895" r:id="rId894" location="VuF2jY16_xOAiUFMRQS_Sm3fFnNqVbWq5aR5ReIftIw"/>
    <hyperlink ref="G896" r:id="rId895" location="0OyEHGVjtJbynifnnr0QAGgZUhPpU0oA_LGPKSwxW68"/>
    <hyperlink ref="G897" r:id="rId896" location="_-VwwzL2Jiela9CvmscU26WoiUyyZZNcAkZ79LCfx_Q"/>
    <hyperlink ref="G898" r:id="rId897" location="bOcTaH1oTJJvRCsyVHkQabeJlkNuAEmAm7ytUgCpQsQ"/>
    <hyperlink ref="G899" r:id="rId898" location="aggnQwK1LLlvgupRwmu0Dcq9_04EkdBZzvaYJtkfSS4"/>
    <hyperlink ref="G900" r:id="rId899" location="97XbVSMNksovbnaX2_uo53UtQNYEBikedgDUWPK32AI"/>
    <hyperlink ref="G901" r:id="rId900" location="hXb4vI1vdKweJKEd3FCI_j_b9vZgsKrDdMSXQMjJ0HE"/>
    <hyperlink ref="G902" r:id="rId901" location="wsh6-IzCA6RrDU-0Sa-ljkIQjsnKAXQUo35PKzLshog"/>
    <hyperlink ref="G903" r:id="rId902" location="I69q84fN1XMyWxH7nvOENFWnaUAcflwd8PFV2N3S-Tk"/>
    <hyperlink ref="G904" r:id="rId903" location="vzmstpLY1abhxsw2gJgXeYG1W7soVaTosJxx2ayqQRE"/>
    <hyperlink ref="G905" r:id="rId904" location="H0HAS1f0dDsqgQNwrid2xoqFIgJypY0t_6JKMqoe9ow"/>
    <hyperlink ref="G906" r:id="rId905" location="68TJ1yMy3IKrteGmJqOT8bsDW846xUH4qZa1-5UWA48"/>
    <hyperlink ref="G907" r:id="rId906" location="40pysdLGc4iPxQFj14Sto7tyATCLmzosWVODgGuhWcs"/>
    <hyperlink ref="G908" r:id="rId907" location="-8xY7iCJXFHm-8yHsh3GeCc7HAMX0XCr-zL8Uvg4L0Y"/>
    <hyperlink ref="G909" r:id="rId908" location="ZNAlzzk-nQRoKmyzqFqvEKqzw0zGLSrdO32wMbRNGJs"/>
    <hyperlink ref="G910" r:id="rId909" location="8-4rHfxaqEn8wZEzEnHX3VaO8ozWAzedLIVWpS_Jn8U"/>
    <hyperlink ref="G911" r:id="rId910" location="WaIMQt_iSuWuq4r_Cf_tEDBYE3HWWHZk6aja3mbcvtU"/>
    <hyperlink ref="G912" r:id="rId911" location="e_O_fUOrC2VoK-9K1jjg8dCTp2mw3uF1shUIlOaRXsc"/>
    <hyperlink ref="G913" r:id="rId912" location="y76lbAGthTj45Sz3NpeMsWWOb2-QsGzvx_68ExBrpNA"/>
    <hyperlink ref="G914" r:id="rId913" location="zFYFx-_164gwDvbtwIOsZS9TlGZO9N3KBSs1Ove5aeY"/>
    <hyperlink ref="G915" r:id="rId914" location="FQGgrvlg-DPhJtlF-EM40tEPebJORKs4JZqR97J0YAE"/>
    <hyperlink ref="G916" r:id="rId915" location="79bVHp5b-ESj588UOa7yuImqus4nm06IdnZ2S0gk7pk"/>
    <hyperlink ref="G917" r:id="rId916" location="GIQlIW8Vda8nFvygAdxSQnlMyMxoEQELyfK0GgFAHt8"/>
    <hyperlink ref="G918" r:id="rId917" location="_gFdjTfBBuYUK5ZDkD2DTXuE4ZaW7RSi8voWjWG6hSw"/>
    <hyperlink ref="G919" r:id="rId918" location="ujm9k9v-hlxlaPDPQiZZIHQnsCx2bCjrrkRdc8Sy5Jw"/>
    <hyperlink ref="G920" r:id="rId919" location="nprBOpqsQaa8FxIsD-zyd-AOUuo32dm3WZWpsFfSqQs"/>
    <hyperlink ref="G921" r:id="rId920" location="X8_v3fjexHUXAg1yGRWkAzVE2id9TOmaQv4FyJcACKw"/>
    <hyperlink ref="G922" r:id="rId921" location="wl9wLH5uXa6-kYzu9939uA2djlVfmWQThzJZLWc4LMw"/>
    <hyperlink ref="G923" r:id="rId922" location="Dx1IfbCyKshZAkbeJLktpQrXxYaWuyhIK_qBHcFEQKI"/>
    <hyperlink ref="G924" r:id="rId923" location="GSUJKVbo1hoC3asAGOiO04PuY3ujoZY806k9dU5BPv0"/>
    <hyperlink ref="G925" r:id="rId924" location="OtF7oZxW7wNLKt-3yRYDg4925fGIDxSV90u6OxP7EPM"/>
    <hyperlink ref="G926" r:id="rId925" location="h2jTILSLC1-gfmwfSU4uXGs2A6TWGdMC7It2LW63ty0"/>
    <hyperlink ref="G927" r:id="rId926" location="-f7aOhG-qa3hWLPsh8HJVZdXd4jIXaR2uVlcnjlTels"/>
    <hyperlink ref="G928" r:id="rId927" location="XcOXls0sl9cTf6iO59yh_RLLsEXPw0_AeUZx1wMJqg8"/>
    <hyperlink ref="G929" r:id="rId928" location="h0H-hfVv2jYll_VKHkl1RkBZKQPVyPxypomEDse-qs4"/>
    <hyperlink ref="G930" r:id="rId929" location="re7FiwNN-kB3MjuwV5ITR6Ff9BIJ84__wcU30UL5bnM"/>
    <hyperlink ref="G931" r:id="rId930" location="p9a6f8ChrFrAY-CZP5RAIDGNkz5iBhGnVPnQYRFr0E0"/>
    <hyperlink ref="G932" r:id="rId931" location="dKC0WjyCwV-ydt26kHcf6l73PQVOM3GrndXq16YglCc"/>
    <hyperlink ref="G933" r:id="rId932" location="x7wQaJ1UzMquOz74QvOtW0PBsg2uJYG2f79x7jVBvRA"/>
    <hyperlink ref="G934" r:id="rId933" location="xEthRT5A9DTdaLIja-fqVmRVcowjMjrJQBrPhiR05QI"/>
    <hyperlink ref="G935" r:id="rId934" location="tnqCjxXMCh7PKkTXQlo54EAoonBG1NaJev_0pGQYInk"/>
    <hyperlink ref="G936" r:id="rId935" location="XvojvvBkMRT3BhFYb2uMVzbHuHjEY8mtlNkXEJ5bmGM"/>
    <hyperlink ref="G937" r:id="rId936" location="SsPgU8OUkwYUJf759OO4o-A4lEN3Clxt0RXM28BR70s"/>
    <hyperlink ref="G938" r:id="rId937" location="3CUlUTQGQiNR3V0JWQtiZWxxI4bOmkg2MPjF_4pZH6g"/>
    <hyperlink ref="G939" r:id="rId938" location="BgZNp45fwZZBZyq3iobaLoCUHxLsECpA2KM3BxbDQIo"/>
    <hyperlink ref="G940" r:id="rId939" location="spYumnDloqiiDLaaXwnG3I47UTj4s3DNnTEC4JcVmXI"/>
    <hyperlink ref="G941" r:id="rId940" location="F_F4xKbSowQ3mnMRKj_f3keBTflC_Jj9o1dkNOYYMcI"/>
    <hyperlink ref="G942" r:id="rId941" location="9SppM_QYx87P4O8jmzQmmDBzdqyHmh7E8o5CzHII86Y"/>
    <hyperlink ref="G943" r:id="rId942" location="tSJxdNGVKb100cUu0TaSt3K8HFQ2Zeg-7TP-h_m25TM"/>
    <hyperlink ref="G944" r:id="rId943" location="H2vUhdkBM_gJx1dy_wKedGU_jgg3SlNib53NFXZ-M4I"/>
    <hyperlink ref="G945" r:id="rId944" location="vpACf3nn_ucB-RYXcKh4S0g1ohR_2vJ9aneTSSlBxV0"/>
    <hyperlink ref="G946" r:id="rId945" location="Roe8e1y3_Ns0To7huthl2g5fr6B2Vnmj9ZwqplYYh84"/>
    <hyperlink ref="G947" r:id="rId946" location="gxffeYmxWLM1kz9yCfZf9IJxuRQ_V3cUq_ZJzQTfD0E"/>
    <hyperlink ref="G948" r:id="rId947" location="-99wDdSjbwivIuetePo5F7OTuZkePmQ-DBuIKPtaqhE"/>
    <hyperlink ref="G949" r:id="rId948" location="ErX7Pq0EYnj2eb69jmD7Feyz01VajWHoEeq8AVufcPQ"/>
    <hyperlink ref="G950" r:id="rId949" location="YP82GVTPIDTSGCIPIg6pP32QlNMPTxp5UhceKvygtOg"/>
    <hyperlink ref="G951" r:id="rId950" location="_TTQUZzcJ3JvqtgprkZXmuGBY818hHEgj8Uc-VZhtwg"/>
    <hyperlink ref="G952" r:id="rId951" location="9XjbzZvLx-J3930mUGVmRRd1CYlb2Fq2TRXQum-Nwtk"/>
    <hyperlink ref="G953" r:id="rId952" location="bBFapfH8026_-VVbIyYs6PQ6xEnl8D2YH6jY653VyK4"/>
    <hyperlink ref="G954" r:id="rId953" location="ukios460G-jyGenCrtLM-BNg6xuJHvm281fkck94yEs"/>
    <hyperlink ref="G955" r:id="rId954" location="P5YtT34fO1hVkeTYLJ-YyuBOGFcEOAD171FWOIpynAU"/>
    <hyperlink ref="G956" r:id="rId955" location="pu0p7FufMLueBZkXSvXvKF0qnxKtt04XP6va5Azraes"/>
    <hyperlink ref="G957" r:id="rId956" location="6tNw5OGWRQaY12Ji5-VKdSbO_gb448Kz6bC2tjg0lrU"/>
    <hyperlink ref="G958" r:id="rId957" location="jOr5Yi0ksAK6VFqQO95SSLzQKuB18THYbmZUz6ktbmA"/>
    <hyperlink ref="G959" r:id="rId958" location="AsnXJaZxr4Ww-NNYPqM9jq5bB_gHqj5-68qnKWRjuSI"/>
    <hyperlink ref="G960" r:id="rId959" location="D0STnkO_tTa1XWmitV9XPxevFIJSYZ1ecgC4vE2enok"/>
    <hyperlink ref="G961" r:id="rId960" location="-JRm7D603EqUU5meCkmkXrO9B-wbohcDpXl0bANfWQM"/>
    <hyperlink ref="G962" r:id="rId961" location="Ku79TJqADVSzlhZtInx1BK3HFm7Ys8OceNoVxZ_xycw"/>
    <hyperlink ref="G963" r:id="rId962" location="NrLtOHK37jeD2XZj6C3A-YgvQJHqjcYaUINFhmZKNgE"/>
    <hyperlink ref="G964" r:id="rId963" location="AaJ9FDn7clZBe7tQkXVnxL-Y60Xd5MstkZdGEki9kXo"/>
    <hyperlink ref="G965" r:id="rId964" location="fdjKeGPRjWsuUajAtUkXC-CLY9kpHahyJZDIOHU8bnc"/>
    <hyperlink ref="G966" r:id="rId965" location="ZVoQq-MNauykzOKyDA0dM4ZMJo_gxtWp1wkWJZVW4-Y"/>
    <hyperlink ref="G967" r:id="rId966" location="-tJtR7pMD7b__dg8D2xmkb81uD9PtI396HgcWVHZBgw"/>
    <hyperlink ref="G968" r:id="rId967" location="vqqRHKUBo89lIOETNKthH_F5QcW_NuaGVkKwGmCRrMU"/>
    <hyperlink ref="G969" r:id="rId968" location="adxYxWYbwtBcEkhPXe0JvlHUPkf6Zf6r13nQprTTrDk"/>
    <hyperlink ref="G970" r:id="rId969" location="9DxlmLQ7RlfrIgCKCB35KqJT0ack3mkreQEKv6621Xc"/>
    <hyperlink ref="G971" r:id="rId970" location="LcceQbiFHUlIyY3g3BYr4C9w-fCMRQGQbTEpRJygmMQ"/>
    <hyperlink ref="G972" r:id="rId971" location="jSrsG5nQGHeSrsiJCEEcLXFmZZRM-hIakD6mfzLa7YQ"/>
    <hyperlink ref="G973" r:id="rId972" location="t-sg_xh9WqVmLZQhR4sJCqof44riczdtCTN_Y7GF824"/>
    <hyperlink ref="G974" r:id="rId973" location="As_ihqJNbRA_YMGeaA9yWR6xRljJ0pCyUYgpVV9q5w4"/>
    <hyperlink ref="G975" r:id="rId974" location="Nu29uiycuHcBjglXSc97wmBZLGgOb5o35cEdbGS6ZG0"/>
    <hyperlink ref="G976" r:id="rId975" location="FrGLtRKjRULQo6MlS0g3_XbQHfaI2DBqyRUng9ArUrw"/>
    <hyperlink ref="G977" r:id="rId976" location="4o0-2mkHR8d0HX1XeUKdKH7XYV4q_BsKM6KSRyxVNRo"/>
    <hyperlink ref="G978" r:id="rId977" location="sK2-q9qHi4YlNaIHvpEjM44G-90hH2CeF0DebffQmO8"/>
    <hyperlink ref="G979" r:id="rId978" location="rA_2v26dlMkSQ4wuT9se3ygd6z0PkRO4EAHkRwc1gpk"/>
    <hyperlink ref="G980" r:id="rId979" location="PMR_TMQSdg4fFkO3sev1W2DsCp1qZJnz51Y0Nu1Ltbc"/>
    <hyperlink ref="G981" r:id="rId980" location="kjP9IQctXWJZGnQT_eAm0MZZlBRCh2eMfKA03JgQWBg"/>
    <hyperlink ref="G982" r:id="rId981" location="mh7mVrY2usg8DYnBzMQ9nfsaIxdnnCwKEVe9bdRJBGc"/>
    <hyperlink ref="G983" r:id="rId982" location="F7QEW_f5q9LoSYIZTxvzDLAfKV_nyK9r5IhA37VC11Q"/>
    <hyperlink ref="G984" r:id="rId983" location="PB5saoOj9epQLM-_-EuJTkEyrCuWXH5_X_6vOfZPJZ4"/>
    <hyperlink ref="G985" r:id="rId984" location="nJZC86QK-FHQ1_hLWk6JvJnMg3NkKDR_eOUM9xsI5dE"/>
    <hyperlink ref="G986" r:id="rId985" location="ERRGsyV6CB-R02vl5dXZ0YNO2CFoLd4H4z9KymPaBpg"/>
    <hyperlink ref="G987" r:id="rId986" location="AisQCgTYm5OzuMYWq05REbfhDcMjIvIUqN7lnceHXDw"/>
    <hyperlink ref="G988" r:id="rId987" location="ISTSVxZ_zohXLVQQ_yjew83ugfpmqpSmGo0GI0FdLDE"/>
    <hyperlink ref="G989" r:id="rId988" location="IoHUYCCmTE3EPPmhHUi8Sw4VJpSJ-fAoSRnsHXO1bHw"/>
    <hyperlink ref="G990" r:id="rId989" location="vnTaGXiw4x0DNbwhNS1Jt46lvsX2oTxTfSjPhZlT0Fc"/>
    <hyperlink ref="G991" r:id="rId990" location="PwwCae6NtPVdE0Wpcdu8WfnXiBMqXHFQWgolsSLbIw0"/>
    <hyperlink ref="G992" r:id="rId991" location="GpRrMg96iP2O0uMFH8ngojwK2gmf28s62yz8EUCZi2o"/>
    <hyperlink ref="G993" r:id="rId992" location="OBbakop85jJOVVchxRT_f2Nf9n9qj317e98qaL9zQBw"/>
    <hyperlink ref="G994" r:id="rId993" location="rmUKNwlXYs61CaqQ1zm22RYUSRkPi4Eo0Yfol8C-eys"/>
    <hyperlink ref="G995" r:id="rId994" location="ZUlowzYdG7xZ3CVHoruU6v6ZP8G8KCNEp1m1WsRrJGo"/>
    <hyperlink ref="G996" r:id="rId995" location="dPPTOIMOqNAqcrFp4WKp7jVur7FNgOg0bjDa7tO8JXU"/>
    <hyperlink ref="G997" r:id="rId996" location="y_xB6AjsZO5NInoDVckaqHHQkJABNnF9bgdFiz-8yVc"/>
    <hyperlink ref="G998" r:id="rId997" location="Od26zuJgQVSl-DQ4AicNYdyewDGg9rID0YXw-cx1KQ4"/>
    <hyperlink ref="G999" r:id="rId998" location="z4jzB_seMGe6EoMqgRUxAhwfZquYrUdY755gVJVa7wA"/>
    <hyperlink ref="G1000" r:id="rId999" location="1StVScFh5wPQ93WBpYhKpWALYcJAr1g5W0cxBe5xW80"/>
    <hyperlink ref="G1001" r:id="rId1000" location="RG9RSv18ny37a3Jp4gwbW4qK5Au2Oh9vbSyB9Ain2mQ"/>
    <hyperlink ref="G1002" r:id="rId1001" location="i3eAIgU_mndM3hVMTEbReTiJAxNdBQahICchrZUS8a4"/>
    <hyperlink ref="G1003" r:id="rId1002" location="cUO8c9gmEUC8Gx9TaQ_1toFluVOFkDCpghKUomPvzOA"/>
    <hyperlink ref="G1004" r:id="rId1003" location="4JA8GFLe7ZgmigLExK0xtzwSnx92FM5xhyzrQVK5GwQ"/>
    <hyperlink ref="G1005" r:id="rId1004" location="fpfl1clKBAXwg_hqXaCEJN1Q7E5K80ZQC4Y_GgNKlZg"/>
    <hyperlink ref="G1006" r:id="rId1005" location="2HlQSO-QVSFU3SxK62CpaFdx-svuNvtohtv67lxiitk"/>
    <hyperlink ref="G1007" r:id="rId1006" location="FLUrzAAiNwWl1sPxBFkdSHz1d7naRIa9TviJ-fdn8j4"/>
    <hyperlink ref="G1008" r:id="rId1007" location="bUEw5t_i1l-33-Tg0PZLpzYGyZjlxVEzhz4bpOmTRN4"/>
    <hyperlink ref="G1009" r:id="rId1008" location="REpzrm4I_mRNUmjrG6Fs54MyTK65_P7vNwHAtlm83fU"/>
    <hyperlink ref="G1010" r:id="rId1009" location="UamiiC_ATokCbDq64hd_gVFbP9_LC9JbkzyK7AkhuIs"/>
    <hyperlink ref="G1011" r:id="rId1010" location="uMvHXH8fGOq_L7o26iEvX9gPnGuYytIsJsqdwf_a93s"/>
    <hyperlink ref="G1012" r:id="rId1011" location="_o1dafz73gQyas41cBrZrOZWzMv0d3p6PlLpdGaKn0Q"/>
    <hyperlink ref="G1013" r:id="rId1012" location="MYxRkl7cJNqHu-VyWfBTA9zrRem-pwo9911-pEh0Kos"/>
    <hyperlink ref="G1014" r:id="rId1013" location="YJ8BMafeV4bgotxxDZC9Y9Pd1ETfZJm3-5Uklt16HTE"/>
    <hyperlink ref="G1015" r:id="rId1014" location="yKp1ieo7Qi2TLUuLZCux2nd1ACCSopVgCNBfmjD4eE8"/>
    <hyperlink ref="G1016" r:id="rId1015" location="4_6jYgr0wCg6aMaDVkrb-PAITd1WxPGx47ueVAbx540"/>
    <hyperlink ref="G1017" r:id="rId1016" location="skyu8bqc701sq0G3X1p8x3izbLO0hWP8PWpXLIvAOOY"/>
    <hyperlink ref="G1018" r:id="rId1017" location="JouT1Ta3vQCn7tHZn4KDjsRUaxJhAwoItgd0j4eu-JM"/>
    <hyperlink ref="G1019" r:id="rId1018" location="yNEY27yFroSc5X1mSTOzVtjEI6Ur9NcBwu4ct26bJNo"/>
    <hyperlink ref="G1020" r:id="rId1019" location="-yTn12hv53ZHI3h2h4OJkE_I5chPu5NIDL7YenGTQO0"/>
    <hyperlink ref="G1021" r:id="rId1020" location="KYjXEZSlYhR768P6HRwLSojJlimwFGbzUEAc1YVNohc"/>
    <hyperlink ref="G1022" r:id="rId1021" location="eGSPf1fDOeD-Cy5c_6L1gQyczKI9nwDGTihp_4wvgB4"/>
    <hyperlink ref="G1023" r:id="rId1022" location="TABjUYyxkzh7mulxlrBALlIfthqXEGB_iioMz2cDH9A"/>
    <hyperlink ref="G1024" r:id="rId1023" location="2yiNVKnGlqAczTatxZW-rNB_8SyNJIMS_Y09Ron7siM"/>
    <hyperlink ref="G1025" r:id="rId1024" location="vsXABFCJmInwgls0xoohpisu5IPBbpqwsl2vITkYMOs"/>
    <hyperlink ref="G1026" r:id="rId1025" location="yJqQABraFidwnSkFNXJ6UvM5hPh_NR4ffwenzJk7eGs"/>
    <hyperlink ref="G1027" r:id="rId1026" location="NklK1zbRoIdT5aZHODwamwqogXaOsYnXESVlKVxnP1g"/>
    <hyperlink ref="G1028" r:id="rId1027" location="gwitJ3Dgj3oWvzbGQG9ru1umph_6T-YWmByOa5Inq7w"/>
    <hyperlink ref="G1029" r:id="rId1028" location="AuUkvCtmdfLDIt0ww2Nof-IJiuLBbT5khEJBxCMVr0U"/>
    <hyperlink ref="G1030" r:id="rId1029" location="40WmA_La3niOmYP_HfudF4sYglhF2_MS9qSftsddTv8"/>
    <hyperlink ref="G1031" r:id="rId1030" location="hodfHTWeX4hJ1QDk7JjQ6kHq0UhEYwKUDi-lErkTJxs"/>
    <hyperlink ref="G1032" r:id="rId1031" location="pnpTVjtZkWQHjbjF8QAKTJX_lDTLVTXVjwOjL6jf59A"/>
    <hyperlink ref="G1033" r:id="rId1032" location="2gPzDJ9RPR6wfKIzn2I16nxaNnX1rFBaCSOdKKA8fD0"/>
    <hyperlink ref="G1034" r:id="rId1033" location="RU6ADt6O_ye5fAkgKBsTFY_nrCBSjMz-mYJ7QB-1q_I"/>
    <hyperlink ref="G1035" r:id="rId1034" location="pLv79AluP4JoS-H00N6ExUXt6sI7yj6DxC8Mcj2tqrI"/>
    <hyperlink ref="G1036" r:id="rId1035" location="cRsS6iP6G-RyZzf4Ejvmf86Tu2K3Rr_wmKpH7QPnJF0"/>
    <hyperlink ref="G1037" r:id="rId1036" location="q8GejPwkgU_sErMlOpiXBn7OpRyA3Gxrzwmnul-WRC4"/>
    <hyperlink ref="G1038" r:id="rId1037" location="9zbC83Nk9JM-mWAUfmC9gAMNfvqyH5FEcwxTuh81DPQ"/>
    <hyperlink ref="G1039" r:id="rId1038" location="DsOwAC6r-i3-U4d4YkjxMiPmKSCgKUI8R7iJj1IvDCc"/>
    <hyperlink ref="G1040" r:id="rId1039" location="E_dOBiilSg5-i7s6pDNhY8kOjF4bHGhU_HAFnJy4rtk"/>
    <hyperlink ref="G1041" r:id="rId1040" location="2CW2Ito-ECTvAlw-Z9U_TMRhRSkMRT57C65UO6KgXoo"/>
    <hyperlink ref="G1042" r:id="rId1041" location="cwL5KIFKpSXZSpsjMKMl8Ds9OxqqEhJw9nU7IW0GN6M"/>
    <hyperlink ref="G1043" r:id="rId1042" location="pJHaeWDZYVhI5qHlukQyprtN8uklxLTyCQT42ljYHD8"/>
    <hyperlink ref="G1044" r:id="rId1043" location="qsj6HMlOqliLYqOWOGnOBW8npg4HY7yMy9BSVU_Y8KU"/>
    <hyperlink ref="G1045" r:id="rId1044" location="rddazEdDKkzSzBd_pFJWMwNrHec17g0zIoqYdKjR5LY"/>
    <hyperlink ref="G1046" r:id="rId1045" location="2Ppn-OKOTnU5j604g9aUgiRd_6eI-NFE7qFTTvf_RNg"/>
    <hyperlink ref="G1047" r:id="rId1046" location="TOxaeo7HCnpiwyMwsSHRD0bvkSowCmdJ0ethB71v80U"/>
    <hyperlink ref="G1048" r:id="rId1047" location="vho7-pKYJH1ftR7XXHbBCcqbfET4kxZ-dcDCMyF7SHg"/>
    <hyperlink ref="G1049" r:id="rId1048" location="NgCrK_6lcud3RrwC_NqlGGv0Ylzw_3d2OfZoeeHZs1c"/>
    <hyperlink ref="G1050" r:id="rId1049" location="dS-kxvL6Vy5cqQL62Z3bbpcLgwm-i2-L19co6s90FAo"/>
    <hyperlink ref="G1051" r:id="rId1050" location="T-xhDPFY_a7Mx16BpdOCSHJkqEkZo5uPmMylvgiUCHE"/>
    <hyperlink ref="G1052" r:id="rId1051" location="Su4MRxiwjbvnscTuo-Jw9J-NMM8Imng_OxiaRNbpHKo"/>
    <hyperlink ref="G1053" r:id="rId1052" location="Zs-SR8UZ3fTar9eQR_y9mBb7-_B1VwkVMK9kjGT-cbc"/>
    <hyperlink ref="G1054" r:id="rId1053" location="5rJPvf2uc9CUoXwM9qVIlzT_cuvN4GMtpF0jwMtFt08"/>
    <hyperlink ref="G1055" r:id="rId1054" location="ijxMYjXlm__N98zcwfatI4e_tYwIkGK0n2571DXLE2o"/>
    <hyperlink ref="G1056" r:id="rId1055" location="kMrvXGm39Hzu5YQ3PKhVt6ALh-dJii_sM0zzDkEhrhg"/>
    <hyperlink ref="G1057" r:id="rId1056" location="4bkTjwrT3-Er6pgWWlD475srYVOnXm6WrSKMgpc-kw0"/>
    <hyperlink ref="G1058" r:id="rId1057" location="7skHs5pMBa1CQGFnh0m4jJIbzNP-UO8XHhDsaGsCeQI"/>
    <hyperlink ref="G1059" r:id="rId1058" location="a4C1slTWr7-_94eUDbNYgj1r3JnqBoE1-tgmpJnkur4"/>
    <hyperlink ref="G1060" r:id="rId1059" location="CNXPCbbIwh33kGkX6iPEQ6BWlPLU-rZyNlErjgG9jQg"/>
    <hyperlink ref="G1061" r:id="rId1060" location="5tQsmh7NYZVUo-mvgCnfVao-vBuSjb7LafkGViD2zWk"/>
    <hyperlink ref="G1062" r:id="rId1061" location="y13KgF35L5OmDk-xIjk1Cu3AghABALBy6zPPtKgDC7U"/>
    <hyperlink ref="G1063" r:id="rId1062" location="RrWkRVN8byv9ElvPvgAgeCPDSjwB5O8k1tQz90sn3Xw"/>
    <hyperlink ref="G1064" r:id="rId1063" location="rJ39rz-96d5mcIX5oyaWayIKxAo36LTf4IoGtB0qePo"/>
    <hyperlink ref="G1065" r:id="rId1064" location="JnVHQtu8nlc1H5k6K6r0lTn2KgdZ3M8qzaWlTpPj4kU"/>
    <hyperlink ref="G1066" r:id="rId1065" location="vGEGQt4PkPKKQcZk5BcRHhQbLzpJ09AKNqKCfVDCFl0"/>
    <hyperlink ref="G1067" r:id="rId1066" location="5ekRHjLhk9dG-HYWydJbKyC-Z6tVrQHlOb1h-uJqots"/>
    <hyperlink ref="G1068" r:id="rId1067" location="ar8h5rm_u8m8cBuV_g8vphtrY2EsnVcRsJZq8fozz4Y"/>
    <hyperlink ref="G1069" r:id="rId1068" location="BEr4CmVf73NUrPu7FgwwtEzY1m9b9duQzH1G8sGDylo"/>
    <hyperlink ref="G1070" r:id="rId1069" location="gUb15F370wU_4PSOBFnAzaFQ9dKEsh3LmnU1aaxEZBU"/>
    <hyperlink ref="G1071" r:id="rId1070" location="3LI7HmRTjusIlGB7kIo88R1lihn3CrOgVb1E2sgyMxM"/>
    <hyperlink ref="G1072" r:id="rId1071" location="r9EbTySQfu7G37KsoM3x4Kyu-ifd8BAZRd09P3j0DqY"/>
    <hyperlink ref="G1073" r:id="rId1072" location="zSOYKlihsn5CnnfFppsCBeUogIXSLZ3SfI9Ksn2pBco"/>
    <hyperlink ref="G1074" r:id="rId1073" location="ZmBepR5eMmm9t0Kz-Ls2JVhAT7SjkSc74ADDaRYZLtg"/>
    <hyperlink ref="G1075" r:id="rId1074" location="8RQaa1eIrBD320l0GiQig5CI_pR1nRrlvep7WfMl8SU"/>
    <hyperlink ref="G1076" r:id="rId1075" location="_QPyxkTCD2vbd6eTX5p1WPO12XlevCWYpKm2vCOR_-g"/>
    <hyperlink ref="G1077" r:id="rId1076" location="qJzkJzWNp8LPw8UyuV8cI6WGTLgBF6tr4A0wVqVIgA4"/>
    <hyperlink ref="G1078" r:id="rId1077" location="I2xqPzoz3DxqXv4DVZmRY5ELaKlpQpcqQIV1HnmOC7I"/>
    <hyperlink ref="G1079" r:id="rId1078" location="FUHxNzX9nBHxGd7UiKsyBmY7_y2Uk2vaAJvcdqVnnuI"/>
    <hyperlink ref="G1080" r:id="rId1079" location="upLSEtMAo9nk5xw7zUltWg1bqs2yE2syLiqZKu4XAeA"/>
    <hyperlink ref="G1081" r:id="rId1080" location="MQFTLKCc9Zswg5FpaWe6kCpGUkjEOix8iuzAJe-iXZI"/>
    <hyperlink ref="G1082" r:id="rId1081" location="9Vw2IptvQ9KQjT2VzZsKJEH6jdZaDX4h2kAwI0ryQ1g"/>
    <hyperlink ref="G1083" r:id="rId1082" location="fe05SOkBKOXRy3dpbRaWCbcqpLlzQfMXYfJ-8_UAtbs"/>
    <hyperlink ref="G1084" r:id="rId1083" location="zSrp9L2S21a3YUZmWbFOI3g7rHsksnY-sfCX0stSbuw"/>
    <hyperlink ref="G1085" r:id="rId1084" location="NjtAoVcBDg5qts2rZRv0Llb1KMcN-pCzf9KnAKbb2L8"/>
    <hyperlink ref="G1086" r:id="rId1085" location="_QiKUtIJeJ_XXFQWEPKsxf_2ESyEVvuEj2G3rvoI4rE"/>
    <hyperlink ref="G1087" r:id="rId1086" location="F0_zmnv57fpaiAB-RFLwE2VoIcw0rAnZ5pSbdGiJgl0"/>
    <hyperlink ref="G1088" r:id="rId1087" location="b-fuVm04eTFNLWPalCjsmB4jhIxX95LrQoViENw5NhI"/>
    <hyperlink ref="G1089" r:id="rId1088" location="a28Ysi7gDLDPxCCvX8tscD9uBacjw1gHz-7VIHrXUno"/>
    <hyperlink ref="G1090" r:id="rId1089" location="gA3QLT2Abuz5YykwOLphQKzCX-O-wtOcvbvAN8h0H-w"/>
    <hyperlink ref="G1091" r:id="rId1090" location="zNqavVqWcjJ5h5mnqnkoG9OOB6m4mKDHRrHoy1UUzEc"/>
    <hyperlink ref="G1092" r:id="rId1091" location="qf6CsCiT-Tz4uFhe9_FITYyHY4ApPee5zGPEy5Zau4Y"/>
    <hyperlink ref="G1093" r:id="rId1092" location="pri5VzJ_419f2ORi3rhp_hQVfBkrzQIK9U5y4FQhRaY"/>
    <hyperlink ref="G1094" r:id="rId1093" location="kYdv0FuhhXslqWdaXRPBeKE_tpMVedoXssQp_Y5Spr8"/>
    <hyperlink ref="G1095" r:id="rId1094" location="P5wxntmq9mHyhyKExdvBleaIEBLhFmKg8dHeK3N_EiU"/>
    <hyperlink ref="G1096" r:id="rId1095" location="9N_KZp1uX-_VCIQ7xfN4KxRELR2W5-9xRF9YhZZJZE0"/>
    <hyperlink ref="G1097" r:id="rId1096" location="ex14pdHfFv2DvzbBmmJGa9Omb2cFsSdE3HUuLFZiJps"/>
    <hyperlink ref="G1098" r:id="rId1097" location="n3vXNUNHwXUW4DHR38q7WGRcaZ8xQJvAL7UCSy7FJTA"/>
    <hyperlink ref="G1099" r:id="rId1098" location="WFYIzvOmEdrL8OjNVKz9-CI9YcXJtombwEwf7wK05sg"/>
    <hyperlink ref="G1100" r:id="rId1099" location="Fw3d0NapWwW0AV_x14-RpKKEXJ2vmJzTGalxieRsFtU"/>
    <hyperlink ref="G1101" r:id="rId1100" location="UwS4D5CNznVh4qOCbprzHNI9gBuUqL0-DmhQbDo5p5U"/>
    <hyperlink ref="G1102" r:id="rId1101" location="BQAw3q6QsFHjCLeU0RklqgXSXZZdEgPx9rD_qM5cp3E"/>
    <hyperlink ref="G1103" r:id="rId1102" location="vK9b6x65x7emIY4DSA3azjeKcuG226ojHk2UDv3zgvM"/>
    <hyperlink ref="G1104" r:id="rId1103" location="6EUBHcYJ6MoXBSQLY8hn1rNyDQf4RB-RiPeG0GoLj1U"/>
    <hyperlink ref="G1105" r:id="rId1104" location="4K1jxMW-vFLrgFj1HKUKuVYQ_e-4dmXfYmeW083NvwA"/>
    <hyperlink ref="G1106" r:id="rId1105" location="V1dP2G0a9sm6XSoYwFBpNqFn0G1cxIv1f06Vewv9BoM"/>
    <hyperlink ref="G1107" r:id="rId1106" location="FmOsLvvzv9P9LXpGmdNsDMhVUxPsZSGz-9WWW9oGHXY"/>
    <hyperlink ref="G1108" r:id="rId1107" location="oJ0k3k-D5R0TkWDSikDJvuOAxVIW1b8alEIXnkn9gkA"/>
    <hyperlink ref="G1109" r:id="rId1108" location="i3BfzYAutacrFaL_iKETBNLmjPV33Kqp8Iv4Bu4kl-k"/>
    <hyperlink ref="G1110" r:id="rId1109" location="-iMMLPlYCw9I1vmo7MfL-XQGgoslQ9WQO2DNNhn6zq8"/>
    <hyperlink ref="G1111" r:id="rId1110" location="AlIpypTJ9aMHtDd4rdAB1Wm7Qkv83CCojAa4SHsyu7Y"/>
    <hyperlink ref="G1112" r:id="rId1111" location="H45pEQgaPAt7kZy5SV3AKMpny_tp7LWKaaipCDPOqUQ"/>
    <hyperlink ref="G1113" r:id="rId1112" location="QbFgFEX9Q5tyUOfSxk7cjxrTWTAhnPz71cZOISAdjBQ"/>
    <hyperlink ref="G1114" r:id="rId1113" location="lnmm5oux9er_6cuqEyF0F5XsfJR7-XXZIGMGHqHI818"/>
    <hyperlink ref="G1115" r:id="rId1114" location="wAymv8jzJ0IolsS9v0-iWxcDKfgI102Q__YpJj4XkXI"/>
    <hyperlink ref="G1116" r:id="rId1115" location="ji-BnXSVLGNNpk1e_kTDvo7ue5mxD3DbrpC-zrHfHMY"/>
    <hyperlink ref="G1117" r:id="rId1116" location="dRjx_MdOUYkYJOPUhg0tl0uVwrZkQe2-ObXlEyOr-r8"/>
    <hyperlink ref="G1118" r:id="rId1117" location="KtO_OYpAK7j-MITDNDCv3p5qvXHxBwPMwoZctiwoY84"/>
    <hyperlink ref="G1119" r:id="rId1118" location="ZPMIQAuMr5TBzYz0Y2bHgMV4fjr3vTjenjFzn8SE5RA"/>
    <hyperlink ref="G1120" r:id="rId1119" location="HpJcrxk17pH8Ex4GfExyQiXfkTqV0ku57AnRUIHlJ1A"/>
    <hyperlink ref="G1121" r:id="rId1120" location="D7Q62mz7HJbAGzhqWuM_GUoJ0SBvJw8jKoqskci5cXo"/>
    <hyperlink ref="G1122" r:id="rId1121" location="hUqc7dF2NqJmCoa-a49W0AwVFgpHagNpu6KzZaP4Fiw"/>
    <hyperlink ref="G1123" r:id="rId1122" location="yhopSVC7uBkEvLF5H8oShSZqgdkCyBcIN_7u4RPOsv0"/>
    <hyperlink ref="G1124" r:id="rId1123" location="i8ABw4GZ-Ta83tatDxYX8jN6r-7kfDeFWS3STmku_KA"/>
    <hyperlink ref="G1125" r:id="rId1124" location="fA_p0zX49K6eKUkbfCi3MsgzyDCCJeO5n_IHENh71DU"/>
    <hyperlink ref="G1126" r:id="rId1125" location="annWPwghu58adZed2HhTJC0TWsNU3QiH1a0khzgqxmg"/>
    <hyperlink ref="G1127" r:id="rId1126" location="N1pz5Wx0XVMg6hFFgHp1KyYlDW3ZTZxgAtV4_gDO-xo"/>
    <hyperlink ref="G1128" r:id="rId1127" location="F1b4-yxPfX3ptSj8jxxff0mCxbXmA-OJaA7zok69LwU"/>
    <hyperlink ref="G1129" r:id="rId1128" location="nCT3vsG4ez3lZkuDslRku6fwyuZkhCrH3iUrfkHuIM0"/>
    <hyperlink ref="G1130" r:id="rId1129" location="jUuNkBKxOFbmjqUHxUzkcI4In6CB8mkkaBvs9vUq5RM"/>
    <hyperlink ref="G1131" r:id="rId1130" location="Js_slJejs5BP0Jij6eo1pN-xriGCyPqESHxkKWyYzhU"/>
    <hyperlink ref="G1132" r:id="rId1131" location="JGE_HAFH8m_APfvDl4JLYKdEwdlYQ-TrQeF2g4kDCp0"/>
    <hyperlink ref="G1133" r:id="rId1132" location="nTPpA5gD0Urn2xChNcIxvYFzD6qFTuxkCPD98iNYnZU"/>
    <hyperlink ref="G1134" r:id="rId1133" location="5wVfGM_RzaHqO3LCDkJrpH4GtAmCOS3YW6T5CYNQGQ4"/>
    <hyperlink ref="G1135" r:id="rId1134" location="NbNhughclvamawtAnutsuwSkSB7GMvrTq8fA1sPGH2s"/>
    <hyperlink ref="G1136" r:id="rId1135" location="w71YPHhMh46cF2hYxlXoYit0Mnf79eXpcEphXInhUNQ"/>
    <hyperlink ref="G1137" r:id="rId1136" location="v7d6qt5UWXrYt40txNP-Io7uXKT4mflsEHsIwj4aUvg"/>
    <hyperlink ref="G1138" r:id="rId1137" location="yHCuPf1ipRS8sCQnSE02aqtOr88_B3TId4oXW3mmNfw"/>
    <hyperlink ref="G1139" r:id="rId1138" location="ktqugVAnw7w9SsW__yMpQ5YkGOaYHMSpK1fKmamSsHk"/>
    <hyperlink ref="G1140" r:id="rId1139" location="VErvs63eCjt5e_23edIapxdsnHhgmu96eUWz4N9CtlA"/>
    <hyperlink ref="G1141" r:id="rId1140" location="TtubwZ4etZJu1RAswt9HGFqNrKKbYykRtRdyKWIcN6k"/>
    <hyperlink ref="G1142" r:id="rId1141" location="iyJn7CUgRkA2Y9Fc_yUfGUAP0E1LhzykjTiZI2Tk6Ts"/>
    <hyperlink ref="G1143" r:id="rId1142" location="r8AtB4qxIJI6ZpjBOxIrbWLr6E5-Dn2DoSA0NiiNbSE"/>
    <hyperlink ref="G1144" r:id="rId1143" location="18QVHuiuz-cJpHZoZcgqNjIX-Zkgm-RRaM1glLgSnpw"/>
    <hyperlink ref="G1145" r:id="rId1144" location="3NMePVy9PqMqhmV9QCziorTOHKrh6kKOIkocQV3A0Jk"/>
    <hyperlink ref="G1146" r:id="rId1145" location="gJs9wi3JOQaMh9CKXr8NJ-gO77HbUjjCQjD21SBTVys"/>
    <hyperlink ref="G1147" r:id="rId1146" location="AaoMHD8eu_ig4PBo1vzuYMZz4W3Dy17z4xVqQCBuAPk"/>
    <hyperlink ref="G1148" r:id="rId1147" location="B5N_bnVdVFkHVx9nCp5ABwp10I8FYX2mf4MfeM-WrTY"/>
    <hyperlink ref="G1149" r:id="rId1148" location="QoypIZi4sat6b-wA_UvNYdViphGWb78CNNidxU_aOZ4"/>
    <hyperlink ref="G1150" r:id="rId1149" location="edgEqKUiXWMMDLz6iEXYEE_ulZv4nWrhGyyswOqwCDk"/>
    <hyperlink ref="G1151" r:id="rId1150" location="K6erUaY060JtV-eMQmenKnB1VpE6HYDOP6c45ThLtg0"/>
    <hyperlink ref="G1152" r:id="rId1151" location="hhGLuTyKRcTG5qfF7CUowY1wP88utFbpDWp5Jj20SfE"/>
    <hyperlink ref="G1153" r:id="rId1152" location="c0IuRmRm1xSc4qEcNLDWrVdBK2hhICoobaabtVkkj4o"/>
    <hyperlink ref="G1154" r:id="rId1153" location="799xbAaszaxBshrJ30ha67Mbm7L6DcqRoNKN155Qp4k"/>
    <hyperlink ref="G1155" r:id="rId1154" location="1tV-WR0DNAp6tz3OvqC0I-DJX3m15dpKXXV7IdYRafA"/>
    <hyperlink ref="G1156" r:id="rId1155" location="SKryrcFxRg2G6lKie0Fp-ELizaEpcfnpygeV0fG5DyY"/>
    <hyperlink ref="G1157" r:id="rId1156" location="iHqHyCcpVON0lBdcmG-QgbtxiBjl_RECEDg8W4ubhbg"/>
    <hyperlink ref="G1158" r:id="rId1157" location="jlYuwnEtklqoVfR9dFwcJorULDowPFSqv1vjDHFmHkg"/>
    <hyperlink ref="G1159" r:id="rId1158" location="MdtQ1LZBxO_9TH-u1MBbXl5khZyThxAMdjnvIL0N5B4"/>
    <hyperlink ref="G1160" r:id="rId1159" location="fSCvIkfMNTjFPh5asB4mE3D2g6EIK12uo-IZas2lQAw"/>
    <hyperlink ref="G1161" r:id="rId1160" location="iqm__gJAJYBFC8ke8gGkPrDqXXWyHvGttVB45h2VqGI"/>
    <hyperlink ref="G1162" r:id="rId1161" location="_9Kxudw41GTLUW13q2fzEnG5N58txDJ-lk7GxdX5G4A"/>
    <hyperlink ref="G1163" r:id="rId1162" location="rQXN3L2OwftP66d2PgrJ5VdY8uvQhgJRFyGGMt_N_R0"/>
    <hyperlink ref="G1164" r:id="rId1163" location="xJxIv1ObwmiyLBw6-WRr7XrvyNc0GRm_4KECSkSKx0M"/>
    <hyperlink ref="G1165" r:id="rId1164" location="OwQcoCqdViHHIiyTEDQUrQs4c5P89dfeGAUxqsx5duc"/>
    <hyperlink ref="G1166" r:id="rId1165" location="5vnvlWeQ2prDom_dserPLtRzUqn-L7t_6IX4lt_r1Qg"/>
    <hyperlink ref="G1167" r:id="rId1166" location="qNjHO75I9slM-5XgLd2ZzbG0drNmmSLLvRKA_8AcV6A"/>
    <hyperlink ref="G1168" r:id="rId1167" location="xYSSUPBf90KKLTnhV4bcgZpBkMMMLpUZ-yjT4wuUePg"/>
    <hyperlink ref="G1169" r:id="rId1168" location="WRAv-OJ-TwxIFQcf00ovnft53m8QSk2rD_U2rzA80fQ"/>
    <hyperlink ref="G1170" r:id="rId1169" location="Z5F0M58Z9W3Zq7csVOC2qNoLlUHvKgFgwrhxlEsDEjk"/>
    <hyperlink ref="G1171" r:id="rId1170" location="S4EALCaMzLHBZVhaAUWjDM8e8ikepQNW93Z-6v5WiVM"/>
    <hyperlink ref="G1172" r:id="rId1171" location="j6-5ljvYacojc9XzEoqHSg73YGJ4GKV7OvGCbVD0_uc"/>
    <hyperlink ref="G1173" r:id="rId1172" location="tqylqJHmAAtjiRDkdqdwL2-K-5rHFPHtrx5TMRPgIWo"/>
    <hyperlink ref="G1174" r:id="rId1173" location="aVcGP_22M_gIO9b1jI1q0on7Jvw88zdxCc-alfc2oaY"/>
    <hyperlink ref="G1175" r:id="rId1174" location="I47H0NVLycs2Aq0zGYUKM_loFkQDO5HAcfG7pXarMl0"/>
    <hyperlink ref="G1176" r:id="rId1175" location="quQPt3y69dk2jZYrPF2xzd9RTWHu6KbWgxbbY9aZWbg"/>
    <hyperlink ref="G1177" r:id="rId1176" location="ajWW5dkVcWWIrKQHMJ2PwmBoebMlne4FovLVsukNYUI"/>
    <hyperlink ref="G1178" r:id="rId1177" location="wH0Kb2DRhrf5nwgunK4lUfwXRLDvvw16TTN8JpnYxVE"/>
    <hyperlink ref="G1179" r:id="rId1178" location="9ccnNnMIyL0mBOHk7Pkt1Bu7X7E-vqQ-Zh1IbrNBy_4"/>
    <hyperlink ref="G1180" r:id="rId1179" location="TfmF77axvM6cq_kfAhfIF_X49HY3be0qIhupSgFvCc4"/>
    <hyperlink ref="G1181" r:id="rId1180" location="Ifj8quqp8fEVKGMqmup7Iv7J6RfbizjiavA3CnsNHfk"/>
    <hyperlink ref="G1182" r:id="rId1181" location="JiAYseIK4YCsrtj1Qgi89s_ZhmfVqJvSQTznc2zJJ-E"/>
    <hyperlink ref="G1183" r:id="rId1182" location="poKEDK-0-0BaVwVQVr8kuOWLYxWp72Jqsd2gaRw72Us"/>
    <hyperlink ref="G1184" r:id="rId1183" location="r1jTq2KjbGDbUaM38pJK_M-NGT-5UTUmOyurfhVkPJQ"/>
    <hyperlink ref="G1185" r:id="rId1184" location="O0ooyH8glfRxS7oCMkmjBMPASHFj7IRsL7kUvMLXRcI"/>
    <hyperlink ref="G1186" r:id="rId1185" location="0BL_yofOnZ0HITlOHb5VSVTabVfzf_eTqGLvzDpyoHA"/>
    <hyperlink ref="G1187" r:id="rId1186" location="2zIFsxWFoy5Q5r8Pv0Wxtg2eKs5FExlB0ew0XeuKFT4"/>
    <hyperlink ref="G1188" r:id="rId1187" location="glJdHFhQgEREcbs6yoO0VNQFrSk9xSF5QiF57G3vqv0"/>
    <hyperlink ref="G1189" r:id="rId1188" location="5xYXT0XQPjs5_O2upbvWRXVRmkmp-mJCnK866uVnTrM"/>
    <hyperlink ref="G1190" r:id="rId1189" location="6qmDeNka3eb8HlidUUH8me5AsH3-0hmKko_Bjc8q6pM"/>
    <hyperlink ref="G1191" r:id="rId1190" location="fV8lsj6xDd7InHtikLIraN9O4gv4GJ8UZTQiJmmY4NM"/>
    <hyperlink ref="G1192" r:id="rId1191" location="aX1tVpcByxId720qIO2PHA0e5VP-EAauy9x782s3dDU"/>
    <hyperlink ref="G1193" r:id="rId1192" location="gpcrRBlNQsjzWpaVuce91qDq8R1zKLSRP1KVB2sEqWM"/>
    <hyperlink ref="G1194" r:id="rId1193" location="pPLJij-mSpACEXBNfE452LMg9_NmrBA4AZsIDe1slII"/>
    <hyperlink ref="G1195" r:id="rId1194" location="CC8SEoX-spJO5vxIVf0TcnsHOoSL2Ls-ruvppw-ANF4"/>
    <hyperlink ref="G1196" r:id="rId1195" location="nR4dCKFDDr0NKY5LSQazI0dUbf4KlYV4QD5-Vo7UthQ"/>
    <hyperlink ref="G1197" r:id="rId1196" location="zytq6YRiaO0ChGowmLxlfQUYTw04c8GuV1Mc3_hxjz8"/>
    <hyperlink ref="G1198" r:id="rId1197" location="yRz36VYJozD51CUSsp4QYxk5BQXMgw8098qlwm875yI"/>
    <hyperlink ref="G1199" r:id="rId1198" location="T_2j2dGDGIQU7CC4EVVnhxVvWIH_rWjU7q2cVPQynyg"/>
    <hyperlink ref="G1200" r:id="rId1199" location="wA0tSI5Mpphhmv7bLrvS_CzmbZtGQKwlw-wWwWADsgA"/>
    <hyperlink ref="G1201" r:id="rId1200" location="RmAIdNAeRRjRjPK8eeNTdKhquFiqeN4Qb1aKnxGEBQk"/>
    <hyperlink ref="G1202" r:id="rId1201" location="MEvtj92GnvfIbPxHQ9JhL_5iguLY1JIiVggnXbxdr9I"/>
    <hyperlink ref="G1203" r:id="rId1202" location="kwMMexGq8z7hrvH9T1uqgjeF7UvBG-UuQHz3r1vyE1E"/>
    <hyperlink ref="G1204" r:id="rId1203" location="WOosH3sQIr1fFgOYH_qGa5NOXjqtdrtP8UP-8XPjQak"/>
    <hyperlink ref="G1205" r:id="rId1204" location="XRrG1pI3zBnWWqJ5049DzuI8kOOAL5W2lOUdL16jzBo"/>
    <hyperlink ref="G1206" r:id="rId1205" location="kvfMM9SGJSCBvtRzKj3e6g993qeQe93FQKUO3OXzy0o"/>
    <hyperlink ref="G1207" r:id="rId1206" location="utCo2PV5DefrUAV7cvzCB25rPv6s6osn7eXKX04KYaM"/>
    <hyperlink ref="G1208" r:id="rId1207" location="tuYjI-UpfL_FOkr27_z6q66q8cG_jkiAqxEsrA-vi90"/>
    <hyperlink ref="G1209" r:id="rId1208" location="rfl6mpNKeA5ANzOnOkI6XDz3iN0_YLsUSnEO35kU_t0"/>
    <hyperlink ref="G1210" r:id="rId1209" location="dz6rtNlX1NZ5-i02EoJE6cGzNTXNto9-bA05Oj7Hf_I"/>
    <hyperlink ref="G1211" r:id="rId1210" location="R3io6Vk3g59dfR7AWNuYhkkR59Ietfhv6BOwXqYGn4I"/>
    <hyperlink ref="G1212" r:id="rId1211" location="2AtovY5-KqAAKjxhT4Lx91g5ooCUYlVmuwdGaA8K-k0"/>
    <hyperlink ref="G1213" r:id="rId1212" location="uMSTVGo-8fUf2-__-EFtpBPD_VyoNeS9mGcSt1TaeRw"/>
    <hyperlink ref="G1214" r:id="rId1213" location="nnWvrcgd3PcmfXvBD37bMd6vSXxrWIUFUDP31EC1Bgs"/>
    <hyperlink ref="G1215" r:id="rId1214" location="w60aDQ6kfpnRlCeqmoIy5P88q39d1NQqruDFosmjLEE"/>
    <hyperlink ref="G1216" r:id="rId1215" location="CNShwoYsRLWWjkBpUSkViM4821Tz2D08hTyl6mfKu_A"/>
    <hyperlink ref="G1217" r:id="rId1216" location="qZRXhK5cemZgI3WKZ-nFLppL65V5xTZrbn-kLsG_W20"/>
    <hyperlink ref="G1218" r:id="rId1217" location="2uFxZ2FfVf163fwOPkpXCMabrRzrgouavw6VIdKnseE"/>
    <hyperlink ref="G1219" r:id="rId1218" location="6SWLFcrXl7a8C7rVijDHioi79_3d5BdHd5-rG9bqQv0"/>
    <hyperlink ref="G1220" r:id="rId1219" location="MznPbkbKJuJf4VZYscb-b9yo41MLPJK8t7b_1sddXZ8"/>
    <hyperlink ref="G1221" r:id="rId1220" location="_8_Hm0X1Tn6aGvo6oWJE4AN2qM6HfSxByWb5-7MMp4M"/>
    <hyperlink ref="G1222" r:id="rId1221" location="3zcNnNf-cOw8MsD92o9s4WgVKvEz60SvPtjwHVct3WE"/>
    <hyperlink ref="G1223" r:id="rId1222" location="AnVEvlX2asxSnvnkrDMSrJs5HZ_JncWbpW_TF54LCiw"/>
    <hyperlink ref="G1224" r:id="rId1223" location="OCMk_fHRTjtH1d4wx5aoa9lm8nSu-pXgsc76BTEhsmw"/>
    <hyperlink ref="G1225" r:id="rId1224" location="qM-RZi4q3dVX-rwhujyfh6yWQyZMtugBKBSwZMKme5k"/>
    <hyperlink ref="G1226" r:id="rId1225" location="UwZuIZhRyjP0Q9DpdUy-N-5RUgOpH8BsyWUDi5QLY4g"/>
    <hyperlink ref="G1227" r:id="rId1226" location="PEr6Yi4tZM-HrRVHSmx7dkuLS29nXbdEwe1huvg2kjE"/>
    <hyperlink ref="G1228" r:id="rId1227" location="k0YChAUXfcQSRNShouDPC_1Hw_qCUUSqjdt3zdRaG8A"/>
    <hyperlink ref="G1229" r:id="rId1228" location="6trBqOGS374XPa_2u-Bb_YMfu-hys_bfNa16zCQ2aLc"/>
    <hyperlink ref="G1230" r:id="rId1229" location="6kmNG1pgeRPPur6HGjgzFwMcesDNOXBvtHhwBGWT29w"/>
    <hyperlink ref="G1231" r:id="rId1230" location="qDWBLsEEchaJ6UDOy_o2U_UYSLJHA5TRH2J_edlHn6o"/>
    <hyperlink ref="G1232" r:id="rId1231" location="QU8t69IJE4n5BWES8mEJFkI5uofO1t-8wP7R9jtj9xs"/>
    <hyperlink ref="G1233" r:id="rId1232" location="C-mIp3jAEwEH58udReOXx_VV9IOiXfenqIqYygH_WMA"/>
    <hyperlink ref="G1234" r:id="rId1233" location="lYc_Nqaq2CP7sq6DQtVbNBR3zIVLow-WJm184rJLpzI"/>
    <hyperlink ref="G1235" r:id="rId1234" location="jVFbVkTnfR__Irf0OApoZsoVPRMe8x4AU6WhJcv_zog"/>
    <hyperlink ref="G1236" r:id="rId1235" location="W6lEIlrrJuhYnVNyQaBQLUjdsXamaa3jO00aaEBt_Rg"/>
    <hyperlink ref="G1237" r:id="rId1236" location="8LNzHsEjvIp42-oCRAs99LnXRMZhkEz6s-rx9u1VYNw"/>
    <hyperlink ref="G1238" r:id="rId1237" location="t9sDm-Upie-bLj9lxFrEWgqLlN5cLS1qFhO1Vx3nXX0"/>
    <hyperlink ref="G1239" r:id="rId1238" location="5spymxzchMSQBQquO5Er2XykFBEvx51h79-PHeZsXyI"/>
    <hyperlink ref="G1240" r:id="rId1239" location="0biXpxmcWL7r99caZ0jUNOryBJvd-1EdcyjwFnkRTl4"/>
    <hyperlink ref="G1241" r:id="rId1240" location="XyyPcVmTdcoo8dkSdpRGb5TNKciRJ3NbuACsEQH2sEU"/>
    <hyperlink ref="G1242" r:id="rId1241" location="eb7ccMHlW_k8v1--vaw7yqterrTNtKzZgrqVjhPAps8"/>
    <hyperlink ref="G1243" r:id="rId1242" location="QRB-SYdOSNpuw6HrNTX5U1PFV5gDRTeW6Q-uLsYC_a8"/>
    <hyperlink ref="G1244" r:id="rId1243" location="V0GhcGNq0ba5nfPaxQAqNhOdJH4XiglsGFD6zb0hcIY"/>
    <hyperlink ref="G1245" r:id="rId1244" location="y2zczr1xnyr73DeLkHrRZu24BwCs6lXoagKLD63tUJM"/>
    <hyperlink ref="G1246" r:id="rId1245" location="UQQ237w1p4sjYxCQUv1M1DZ31N7_BFXJsZ_3sCj8dQs"/>
    <hyperlink ref="G1247" r:id="rId1246" location="_eYUbDVdt-OlqRlEdCcdj9-7DGvw7A9Off2UIxHd_5c"/>
    <hyperlink ref="G1248" r:id="rId1247" location="6l-BxTMaptdRMQzvIgVZkjLttvzUoXPk3xc7fRK8HW0"/>
    <hyperlink ref="G1249" r:id="rId1248" location="2yUxxCO7w1D4v7DD7oDfvH5_gWp-HpV1zkVSZXYIAe4"/>
    <hyperlink ref="G1250" r:id="rId1249" location="y72Q5r5Zk6D9BugU9dvc3Lvq1frlZkDJBKXOdNjov10"/>
    <hyperlink ref="G1251" r:id="rId1250" location="gHpzSSBLKrPcp5VqpDt1q_KwemwPrbldJR-2gQnZ5AI"/>
    <hyperlink ref="G1252" r:id="rId1251" location="DaIpF1NQcpXQ7nwsB2urMI5jpN2Ao0k2XfdrIBjKvPs"/>
    <hyperlink ref="G1253" r:id="rId1252" location="HwFEqMEOWF0eNLiyO6tsGxixnz0ayvK9CZjv_Q_cx-Q"/>
    <hyperlink ref="G1254" r:id="rId1253" location="Qd6Ek1N9KBwTZhvPfMc8IHxa_i1OEMkcU3G3jj8zIPw"/>
    <hyperlink ref="G1255" r:id="rId1254" location="rqgkbO8ze2-YvGCj9K4z-PrbQEua9NgtUticdMgBl7M"/>
    <hyperlink ref="G1256" r:id="rId1255" location="C6RJOx5TbJtQds5EkDNG9l2ekI9UJXzRjMjxN751gJo"/>
    <hyperlink ref="G1257" r:id="rId1256" location="kff9sz9jEwH3f9SdFkahsIKZs9eSHwYqtmo9wEwC-Bc"/>
    <hyperlink ref="G1258" r:id="rId1257" location="nRb7mhiEUu3t50ttCnLkyasMfYnNu9FwznWj_gnQFkE"/>
    <hyperlink ref="G1259" r:id="rId1258" location="cQZoxuj10uyNryNSQ9HjyyqW6T8sEOWYr1WTo9Qo_gc"/>
    <hyperlink ref="G1260" r:id="rId1259" location="_nIUzOFLMFkluSsFGKDZsGPkCOFwH_XUaT6vPn63LUo"/>
    <hyperlink ref="G1261" r:id="rId1260" location="hDoEaYyXnxvclnmjtOpx_FqsW4z_7oUa5SXBejW5zMU"/>
    <hyperlink ref="G1262" r:id="rId1261" location="Ah0ePbA4TzE3w7GoIKopKazZWFdKcO9tJeBUnGBucIM"/>
    <hyperlink ref="G1263" r:id="rId1262" location="pcrU7XyOaoM7zWpKHQo8kEKA2Omsdg3YdavLnN51IP8"/>
    <hyperlink ref="G1264" r:id="rId1263" location="fldPuhLuP6MvatZmUCUMbrWErB8agLJr6Yf5Vw6deto"/>
    <hyperlink ref="G1265" r:id="rId1264" location="ToMiqRru8PvsX52S2sDqczbvm55DPcqRkct42XxABck"/>
    <hyperlink ref="G1266" r:id="rId1265" location="GwbWqu43tqXn5kHagA18cXIY8rL8WfamGlOPdw1EiY8"/>
    <hyperlink ref="G1267" r:id="rId1266" location="UNYM_BnXk1LZDuIgG6bhTSViKWq_DEdKtbk_bCnEjJw"/>
    <hyperlink ref="G1268" r:id="rId1267" location="WjseSAo4wvA_UAYFRwBOgOn-dtRdDg07I51O1n8XDlk"/>
    <hyperlink ref="G1269" r:id="rId1268" location="5cvQeqtbk1q3ywVohys1xqBVtvmJ2ru8ultTHt5khPQ"/>
    <hyperlink ref="G1270" r:id="rId1269" location="WCtS5qhc1Lo6rNqFWqVROIzVUvKSarhZemU2WBfbZUY"/>
    <hyperlink ref="G1271" r:id="rId1270" location="Vv2qdILeltAAUFFoV8uw0mj9PSYVcPHtpXnvXskRkU8"/>
    <hyperlink ref="G1272" r:id="rId1271" location="Wot4nwnI4GqZ_2bg0CtpT4lN4G0QRaV3953IXeXslcE"/>
    <hyperlink ref="G1273" r:id="rId1272" location="NFq9LL-6vsEnRYMl6WqUP0C3oAh7SOqJrWUOgAkMgU8"/>
    <hyperlink ref="G1274" r:id="rId1273" location="DrRsmHfMr2PFitbBLHsY67FpQRae3U9rT56bU3d5I38"/>
    <hyperlink ref="G1275" r:id="rId1274" location="y7U7sBsCNW0q3xgu682GYiy5um_ezlaOg782zE2l0aY"/>
    <hyperlink ref="G1276" r:id="rId1275" location="NtMb7CXI0zuxA6y3an4SWWC7JeOtKz1ZflIusvfugGc"/>
    <hyperlink ref="G1277" r:id="rId1276" location="Ws1hrcRn8WAXK7TZNhMh8QSCkfx2XchcTdkU1CV9jdQ"/>
    <hyperlink ref="G1278" r:id="rId1277" location="X1Nv9q1XCKZ_NBkeuvZ6VPqd5IJlsr2jsVX0PhFT9gY"/>
    <hyperlink ref="G1279" r:id="rId1278" location="kzdyF_HscBUHZv409PgH8LuLtA7nMCDuym6hSkn05R4"/>
    <hyperlink ref="G1280" r:id="rId1279" location="H2D9zd0ppynanZnnfhCBhnPMlIPekdKjAs80Eznh0Wo"/>
    <hyperlink ref="G1281" r:id="rId1280" location="RUKu9ZJRV8-1nErld8HGzXQFdq92ncBodzE67SpuErs"/>
    <hyperlink ref="G1282" r:id="rId1281" location="IWGXKPBQ0YfnJKCBYSU8ook-pktp_ZgA-PKtpciJmxE"/>
    <hyperlink ref="G1283" r:id="rId1282" location="KJpN5PBEPkvpYzLiZoaMAjcz7WEAStyYaGCcgPJo__M"/>
    <hyperlink ref="G1284" r:id="rId1283" location="hCUz97okUCvcqirJfs5AlQMnRDOxUeNcPv9nFqpFI5s"/>
    <hyperlink ref="G1285" r:id="rId1284" location="9uYv3sKqgeLbz6vU03ijURcu5J_W6fx_AScJCmVY9Fs"/>
    <hyperlink ref="G1286" r:id="rId1285" location="5sWK3bs5Azy50gRLfz5-lazN-iAFeo6g-Fs2mCw3Qzg"/>
    <hyperlink ref="G1287" r:id="rId1286" location="U2P70hAAG7ewEQ0xiczw9Y7zvFCEzx1XxoE12ETLpb8"/>
    <hyperlink ref="G1288" r:id="rId1287" location="pXXJWiQY5-MWc5MU24d0_yxlvFe2T0D74NrNbKCFlIM"/>
    <hyperlink ref="G1289" r:id="rId1288" location="zuOlWYJSyEAcQ3fS6x8NxWm1XR11BGfq1YbNgAT0ZOQ"/>
    <hyperlink ref="G1290" r:id="rId1289" location="j_wygrBk1MnSF13j13Il3g1IfeklNDzp2Wi6457jSrA"/>
    <hyperlink ref="G1291" r:id="rId1290" location="Vw7UmrVnDt8CnNsYdI4Z8txbGYWFc02A0duU2RDCpNY"/>
    <hyperlink ref="G1292" r:id="rId1291" location="D7fROZ7ygrze8bCw0Z6E2g6ZKYmdxvBiNBNfS3Owk24"/>
    <hyperlink ref="G1293" r:id="rId1292" location="o_dVCOKerRd2Loow7XPE1ZgZ7sL-Qaf-fQvPIAdFiRE"/>
    <hyperlink ref="G1294" r:id="rId1293" location="3WOR08HSBb_VzQ_k7VcaFCAAerNgxMMYi1ET76nuOdQ"/>
    <hyperlink ref="G1295" r:id="rId1294" location="GLiMbY6l7OkFbVvV8nIgOjCkBeyIFgVTy8PjR3d6sXA"/>
    <hyperlink ref="G1296" r:id="rId1295" location="oGeChXS2OmvqiLyxAmuSiQoInfYs_zPS7zb8r4LCqiA"/>
    <hyperlink ref="G1297" r:id="rId1296" location="MolHUI5zmzV5mHN0kBwCFD90YxoIzWb7GCq9I__3_lI"/>
    <hyperlink ref="G1298" r:id="rId1297" location="1eC2mt0Oup8j4RQQF75aqxm611CNoMb-M_AmQwt6erA"/>
    <hyperlink ref="G1299" r:id="rId1298" location="Qkq18dXX2XVfzR8Hg320WQaaWevIPtllc1HJttS8xlU"/>
    <hyperlink ref="G1300" r:id="rId1299" location="1lzYrHaUQrbzBGqh7IY3eVWxFbuSlWisugcjlKKwWMk"/>
    <hyperlink ref="G1301" r:id="rId1300" location="51M_nkSVzNT9WpJinqbHs6HBmP26WUIKHL1wibW1SfU"/>
    <hyperlink ref="G1302" r:id="rId1301" location="ubQbr00tKKyEwf922eXmyq9IttP-2rCMBuzKoxH35gY"/>
    <hyperlink ref="G1303" r:id="rId1302" location="7UIvt9f6xxEA1AspWFWa8Jd5wynpgu-tw-6cE_zABOU"/>
    <hyperlink ref="G1304" r:id="rId1303" location="RZ0q0fdjOlmmtATIt6zs0iNwHXdkg7aAD-_O4oD0sjc"/>
    <hyperlink ref="G1305" r:id="rId1304" location="BZC6QRUwRGyP1LcZ1zrFmwjfAp_K8bMsn50SqMTGFNY"/>
    <hyperlink ref="G1306" r:id="rId1305" location="pbFvxEzBEBS44Mzkt05Vj3O08qsvAPDjOtHn5wSCNCg"/>
    <hyperlink ref="G1307" r:id="rId1306" location="VC0Qonmag7BMenVFpYvwwlsWCMRR_lBLjg6u14IkVBc"/>
    <hyperlink ref="G1308" r:id="rId1307" location="M1ntbmqAhJrXIW5qBP3f80yiPtZ5O9pTW3aujd0CWe8"/>
    <hyperlink ref="G1309" r:id="rId1308" location="_UcSnSudrD4rW1Wqqj09QDMMSMMPo00HpYfa8MqySqI"/>
    <hyperlink ref="G1310" r:id="rId1309" location="fJXhrmteWVz6azCC4N2cEKvUu2fzuPxi8pTf6O2ta3Y"/>
    <hyperlink ref="G1311" r:id="rId1310" location="2sykwYB861ZAaR3zRLvBPu9B34R7HISrWhLH7KMNfF8"/>
    <hyperlink ref="G1312" r:id="rId1311" location="Bp-vBfWLv_WyZhkGWFpMRIbr8ThkP2TZr_A8xy8BoTs"/>
    <hyperlink ref="G1313" r:id="rId1312" location="8G9R_qGfLsjD6gmJRU1xk3-l4545g5hNSRDqZziVKWI"/>
    <hyperlink ref="G1314" r:id="rId1313" location="0l45-Jz5ryQJGyVkKCKAeH3AmH0_wBeoVhTacMKi-8Q"/>
    <hyperlink ref="G1315" r:id="rId1314" location="aqPxrNgULl-QungIhS8z1Ttwy97yxXndoPzHcKjOG7U"/>
    <hyperlink ref="G1316" r:id="rId1315" location="9zcbZUh2uVqXxMcR7js4UwwDDIOijG5zb2mX9Bo-CRo"/>
    <hyperlink ref="G1317" r:id="rId1316" location="Vy4X6xop_1sh5R0Prv9qLL6dW3yqzdRl3Zi3MkOOyVM"/>
    <hyperlink ref="G1318" r:id="rId1317" location="LSBbsbctYeKowAscASTeytMluBEyb2epPJI6cfri_tA"/>
    <hyperlink ref="G1319" r:id="rId1318" location="U447Tk2AaeqIS_YU2tJ16fLtflm6h0yXlgx-uBlKZHc"/>
    <hyperlink ref="G1320" r:id="rId1319" location="LhLKpTnC9lGsW1EjDgVaffJQcubVILz3m1z7ByAgmE0"/>
    <hyperlink ref="G1321" r:id="rId1320" location="fwS2hCdhTO15WaJbCRMFH5zRwB6nTnTG4RY1fijK-ko"/>
    <hyperlink ref="G1322" r:id="rId1321" location="oP1lFYQMcyVgyjLvULruHqd46OLCmzHGKbYj8govjdA"/>
    <hyperlink ref="G1323" r:id="rId1322" location="cClidTzrB4rdCQgsONR91S_Jdo20zvr1HpuIP-rLhTA"/>
    <hyperlink ref="G1324" r:id="rId1323" location="_J4sTySjHTE_nQhyIA7wOY713UAaBjXKuX70KeWoJsM"/>
    <hyperlink ref="G1325" r:id="rId1324" location="N9xNN1x1tgfkF8zCjOgGZK9oE_2KCJl0wHMlkxTvpV4"/>
    <hyperlink ref="G1326" r:id="rId1325" location="iWe-2aAfSKSZ0JZMJBGvartmj7skpcQ7uzRmB-hMVZk"/>
    <hyperlink ref="G1327" r:id="rId1326" location="BsiwhCCzByL8AgVmpp38Y7QTaJEEI2TzSod7Xwu-lik"/>
    <hyperlink ref="G1328" r:id="rId1327" location="qH8oslwWxcGWIgzn8HzZa7_UXprzB97zXp1Cn2gWL7k"/>
    <hyperlink ref="G1329" r:id="rId1328" location="Q2y9AeZzLX9dh0vppP8FVojvinY6xf4YoLZU1hsmOIo"/>
    <hyperlink ref="G1330" r:id="rId1329" location="D3UUiwsor-UFY2S4--ktOAsYf-seo1o_dt1miQHkR8k"/>
    <hyperlink ref="G1331" r:id="rId1330" location="ukf3fUxr-SBfDZrNEDm-Pnygb0yXSDtUsIX8KSKdtds"/>
    <hyperlink ref="G1332" r:id="rId1331" location="Gm-7rGviv3s1MS5JJd8POMIIDImpbWzvJKOIEKHXsQ8"/>
    <hyperlink ref="G1333" r:id="rId1332" location="CLKMetQCvgN_74eaibXzwat2-cpIf4k31fLzNkMUezE"/>
    <hyperlink ref="G1334" r:id="rId1333" location="DBl41Iu-b61rZwHKG8NknOYToVkH53LwRCBe-quK2T8"/>
    <hyperlink ref="G1335" r:id="rId1334" location="vGeG-v_1w5XotP0PO89jhva4o8WGNUuwKpkT5ECprEw"/>
    <hyperlink ref="G1336" r:id="rId1335" location="PvEyLDRYtW1d2cXGdo9I1MBJhRKtojTbc0j4xayjfNU"/>
    <hyperlink ref="G1337" r:id="rId1336" location="hgRs_11JFafsMTeEWJpb96QdTfTbeCcO9up2iJ_gqVk"/>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Biblioteca Arcana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2025-11-06T00:51:10Z</dcterms:created>
  <dcterms:modified xsi:type="dcterms:W3CDTF">2025-11-06T00:51:10Z</dcterms:modified>
</cp:coreProperties>
</file>